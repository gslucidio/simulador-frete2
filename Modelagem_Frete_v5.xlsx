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zgestora-my.sharepoint.com/personal/gabriel_lucidio_vizgestora_com_br/Documents/Downloads VIZ/"/>
    </mc:Choice>
  </mc:AlternateContent>
  <xr:revisionPtr revIDLastSave="61" documentId="13_ncr:1_{D47A2C18-4BC7-4D69-91F4-62BFBA39C70E}" xr6:coauthVersionLast="47" xr6:coauthVersionMax="47" xr10:uidLastSave="{B90D7CA8-7BCF-4C34-8BB3-A6BF3D8A489E}"/>
  <bookViews>
    <workbookView xWindow="-120" yWindow="-120" windowWidth="29040" windowHeight="15720" activeTab="1" xr2:uid="{E518C091-0529-4C1B-AE23-B52034A15298}"/>
  </bookViews>
  <sheets>
    <sheet name="Dashboard" sheetId="1" r:id="rId1"/>
    <sheet name="Fundo" sheetId="2" r:id="rId2"/>
    <sheet name="Cus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" i="2" l="1"/>
  <c r="AI6" i="2"/>
  <c r="AC6" i="2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E401" i="3"/>
  <c r="F401" i="3"/>
  <c r="E402" i="3"/>
  <c r="F402" i="3"/>
  <c r="E403" i="3"/>
  <c r="F403" i="3"/>
  <c r="F5" i="3"/>
  <c r="E5" i="3"/>
  <c r="AD23" i="2"/>
  <c r="AJ23" i="2"/>
  <c r="AN23" i="2"/>
  <c r="AD24" i="2"/>
  <c r="AJ24" i="2"/>
  <c r="AN24" i="2"/>
  <c r="AD25" i="2"/>
  <c r="AJ25" i="2"/>
  <c r="AN25" i="2"/>
  <c r="AD26" i="2"/>
  <c r="AJ26" i="2"/>
  <c r="AN26" i="2"/>
  <c r="AD27" i="2"/>
  <c r="AJ27" i="2"/>
  <c r="AN27" i="2"/>
  <c r="AD28" i="2"/>
  <c r="AJ28" i="2"/>
  <c r="AN28" i="2"/>
  <c r="AD29" i="2"/>
  <c r="AJ29" i="2"/>
  <c r="AN29" i="2"/>
  <c r="AD30" i="2"/>
  <c r="AJ30" i="2"/>
  <c r="AN30" i="2"/>
  <c r="AD31" i="2"/>
  <c r="AJ31" i="2"/>
  <c r="AN31" i="2"/>
  <c r="AD32" i="2"/>
  <c r="AJ32" i="2"/>
  <c r="AN32" i="2"/>
  <c r="AD33" i="2"/>
  <c r="AJ33" i="2"/>
  <c r="AN33" i="2"/>
  <c r="AD34" i="2"/>
  <c r="AJ34" i="2"/>
  <c r="AN34" i="2"/>
  <c r="AD35" i="2"/>
  <c r="AJ35" i="2"/>
  <c r="AN35" i="2"/>
  <c r="AD36" i="2"/>
  <c r="AJ36" i="2"/>
  <c r="AN36" i="2"/>
  <c r="AD37" i="2"/>
  <c r="AJ37" i="2"/>
  <c r="AN37" i="2"/>
  <c r="AD38" i="2"/>
  <c r="AJ38" i="2"/>
  <c r="AN38" i="2"/>
  <c r="AD39" i="2"/>
  <c r="AJ39" i="2"/>
  <c r="AN39" i="2"/>
  <c r="AD40" i="2"/>
  <c r="AJ40" i="2"/>
  <c r="AN40" i="2"/>
  <c r="AD41" i="2"/>
  <c r="AJ41" i="2"/>
  <c r="AN41" i="2"/>
  <c r="AD42" i="2"/>
  <c r="AJ42" i="2"/>
  <c r="AN42" i="2"/>
  <c r="AD43" i="2"/>
  <c r="AJ43" i="2"/>
  <c r="AN43" i="2"/>
  <c r="AD44" i="2"/>
  <c r="AJ44" i="2"/>
  <c r="AN44" i="2"/>
  <c r="AD45" i="2"/>
  <c r="AJ45" i="2"/>
  <c r="AN45" i="2"/>
  <c r="AD46" i="2"/>
  <c r="AJ46" i="2"/>
  <c r="AN46" i="2"/>
  <c r="AD47" i="2"/>
  <c r="AJ47" i="2"/>
  <c r="AN47" i="2"/>
  <c r="AD48" i="2"/>
  <c r="AJ48" i="2"/>
  <c r="AN48" i="2"/>
  <c r="AD49" i="2"/>
  <c r="AJ49" i="2"/>
  <c r="AN49" i="2"/>
  <c r="AD50" i="2"/>
  <c r="AJ50" i="2"/>
  <c r="AN50" i="2"/>
  <c r="AD51" i="2"/>
  <c r="AJ51" i="2"/>
  <c r="AN51" i="2"/>
  <c r="AD52" i="2"/>
  <c r="AJ52" i="2"/>
  <c r="AN52" i="2"/>
  <c r="AD53" i="2"/>
  <c r="AJ53" i="2"/>
  <c r="AN53" i="2"/>
  <c r="AD54" i="2"/>
  <c r="AJ54" i="2"/>
  <c r="AN54" i="2"/>
  <c r="AD55" i="2"/>
  <c r="AJ55" i="2"/>
  <c r="AN55" i="2"/>
  <c r="AD56" i="2"/>
  <c r="AJ56" i="2"/>
  <c r="AN56" i="2"/>
  <c r="AD57" i="2"/>
  <c r="AJ57" i="2"/>
  <c r="AN57" i="2"/>
  <c r="AD58" i="2"/>
  <c r="AJ58" i="2"/>
  <c r="AN58" i="2"/>
  <c r="AD59" i="2"/>
  <c r="AJ59" i="2"/>
  <c r="AN59" i="2"/>
  <c r="AD60" i="2"/>
  <c r="AJ60" i="2"/>
  <c r="AN60" i="2"/>
  <c r="AD61" i="2"/>
  <c r="AJ61" i="2"/>
  <c r="AN61" i="2"/>
  <c r="AD62" i="2"/>
  <c r="AJ62" i="2"/>
  <c r="AN62" i="2"/>
  <c r="AD63" i="2"/>
  <c r="AJ63" i="2"/>
  <c r="AN63" i="2"/>
  <c r="AD64" i="2"/>
  <c r="AJ64" i="2"/>
  <c r="AN64" i="2"/>
  <c r="AD65" i="2"/>
  <c r="AJ65" i="2"/>
  <c r="AN65" i="2"/>
  <c r="AD66" i="2"/>
  <c r="AJ66" i="2"/>
  <c r="AN66" i="2"/>
  <c r="AD67" i="2"/>
  <c r="AJ67" i="2"/>
  <c r="AN67" i="2"/>
  <c r="AD68" i="2"/>
  <c r="AJ68" i="2"/>
  <c r="AN68" i="2"/>
  <c r="AD69" i="2"/>
  <c r="AJ69" i="2"/>
  <c r="AN69" i="2"/>
  <c r="AD70" i="2"/>
  <c r="AJ70" i="2"/>
  <c r="AN70" i="2"/>
  <c r="AD71" i="2"/>
  <c r="AJ71" i="2"/>
  <c r="AN71" i="2"/>
  <c r="AD72" i="2"/>
  <c r="AJ72" i="2"/>
  <c r="AN72" i="2"/>
  <c r="AD73" i="2"/>
  <c r="AJ73" i="2"/>
  <c r="AN73" i="2"/>
  <c r="AD74" i="2"/>
  <c r="AJ74" i="2"/>
  <c r="AN74" i="2"/>
  <c r="AD75" i="2"/>
  <c r="AJ75" i="2"/>
  <c r="AN75" i="2"/>
  <c r="AD76" i="2"/>
  <c r="AJ76" i="2"/>
  <c r="AN76" i="2"/>
  <c r="AD77" i="2"/>
  <c r="AJ77" i="2"/>
  <c r="AN77" i="2"/>
  <c r="AD78" i="2"/>
  <c r="AJ78" i="2"/>
  <c r="AN78" i="2"/>
  <c r="AD79" i="2"/>
  <c r="AJ79" i="2"/>
  <c r="AN79" i="2"/>
  <c r="AD80" i="2"/>
  <c r="AJ80" i="2"/>
  <c r="AN80" i="2"/>
  <c r="AD81" i="2"/>
  <c r="AJ81" i="2"/>
  <c r="AN81" i="2"/>
  <c r="AD82" i="2"/>
  <c r="AJ82" i="2"/>
  <c r="AN82" i="2"/>
  <c r="AD83" i="2"/>
  <c r="AJ83" i="2"/>
  <c r="AN83" i="2"/>
  <c r="AD84" i="2"/>
  <c r="AJ84" i="2"/>
  <c r="AN84" i="2"/>
  <c r="AD85" i="2"/>
  <c r="AJ85" i="2"/>
  <c r="AN85" i="2"/>
  <c r="AD86" i="2"/>
  <c r="AJ86" i="2"/>
  <c r="AN86" i="2"/>
  <c r="AD87" i="2"/>
  <c r="AJ87" i="2"/>
  <c r="AN87" i="2"/>
  <c r="AD88" i="2"/>
  <c r="AJ88" i="2"/>
  <c r="AN88" i="2"/>
  <c r="AD89" i="2"/>
  <c r="AJ89" i="2"/>
  <c r="AN89" i="2"/>
  <c r="AD90" i="2"/>
  <c r="AJ90" i="2"/>
  <c r="AN90" i="2"/>
  <c r="AD91" i="2"/>
  <c r="AJ91" i="2"/>
  <c r="AN91" i="2"/>
  <c r="AD92" i="2"/>
  <c r="AJ92" i="2"/>
  <c r="AN92" i="2"/>
  <c r="AD93" i="2"/>
  <c r="AJ93" i="2"/>
  <c r="AN93" i="2"/>
  <c r="AD94" i="2"/>
  <c r="AJ94" i="2"/>
  <c r="AN94" i="2"/>
  <c r="AD95" i="2"/>
  <c r="AJ95" i="2"/>
  <c r="AN95" i="2"/>
  <c r="AD96" i="2"/>
  <c r="AJ96" i="2"/>
  <c r="AN96" i="2"/>
  <c r="AD97" i="2"/>
  <c r="AJ97" i="2"/>
  <c r="AN97" i="2"/>
  <c r="AD98" i="2"/>
  <c r="AJ98" i="2"/>
  <c r="AN98" i="2"/>
  <c r="AD99" i="2"/>
  <c r="AJ99" i="2"/>
  <c r="AN99" i="2"/>
  <c r="AD100" i="2"/>
  <c r="AJ100" i="2"/>
  <c r="AN100" i="2"/>
  <c r="AD101" i="2"/>
  <c r="AJ101" i="2"/>
  <c r="AN101" i="2"/>
  <c r="AD102" i="2"/>
  <c r="AJ102" i="2"/>
  <c r="AN102" i="2"/>
  <c r="AD103" i="2"/>
  <c r="AJ103" i="2"/>
  <c r="AN103" i="2"/>
  <c r="AD104" i="2"/>
  <c r="AJ104" i="2"/>
  <c r="AN104" i="2"/>
  <c r="AD105" i="2"/>
  <c r="AJ105" i="2"/>
  <c r="AN105" i="2"/>
  <c r="AD106" i="2"/>
  <c r="AJ106" i="2"/>
  <c r="AN106" i="2"/>
  <c r="AD107" i="2"/>
  <c r="AJ107" i="2"/>
  <c r="AN107" i="2"/>
  <c r="AD108" i="2"/>
  <c r="AJ108" i="2"/>
  <c r="AN108" i="2"/>
  <c r="AD109" i="2"/>
  <c r="AJ109" i="2"/>
  <c r="AN109" i="2"/>
  <c r="AD110" i="2"/>
  <c r="AJ110" i="2"/>
  <c r="AN110" i="2"/>
  <c r="AD111" i="2"/>
  <c r="AJ111" i="2"/>
  <c r="AN111" i="2"/>
  <c r="AD112" i="2"/>
  <c r="AJ112" i="2"/>
  <c r="AN112" i="2"/>
  <c r="AD113" i="2"/>
  <c r="AJ113" i="2"/>
  <c r="AN113" i="2"/>
  <c r="AD114" i="2"/>
  <c r="AJ114" i="2"/>
  <c r="AN114" i="2"/>
  <c r="AD115" i="2"/>
  <c r="AJ115" i="2"/>
  <c r="AN115" i="2"/>
  <c r="AD116" i="2"/>
  <c r="AJ116" i="2"/>
  <c r="AN116" i="2"/>
  <c r="AD117" i="2"/>
  <c r="AJ117" i="2"/>
  <c r="AN117" i="2"/>
  <c r="AD118" i="2"/>
  <c r="AJ118" i="2"/>
  <c r="AN118" i="2"/>
  <c r="AD119" i="2"/>
  <c r="AJ119" i="2"/>
  <c r="AN119" i="2"/>
  <c r="AD120" i="2"/>
  <c r="AJ120" i="2"/>
  <c r="AN120" i="2"/>
  <c r="AD121" i="2"/>
  <c r="AJ121" i="2"/>
  <c r="AN121" i="2"/>
  <c r="AD122" i="2"/>
  <c r="AJ122" i="2"/>
  <c r="AN122" i="2"/>
  <c r="AD123" i="2"/>
  <c r="AJ123" i="2"/>
  <c r="AN123" i="2"/>
  <c r="AD124" i="2"/>
  <c r="AJ124" i="2"/>
  <c r="AN124" i="2"/>
  <c r="AD125" i="2"/>
  <c r="AJ125" i="2"/>
  <c r="AN125" i="2"/>
  <c r="AD126" i="2"/>
  <c r="AJ126" i="2"/>
  <c r="AN126" i="2"/>
  <c r="AD127" i="2"/>
  <c r="AJ127" i="2"/>
  <c r="AN127" i="2"/>
  <c r="AD128" i="2"/>
  <c r="AJ128" i="2"/>
  <c r="AN128" i="2"/>
  <c r="AD129" i="2"/>
  <c r="AJ129" i="2"/>
  <c r="AN129" i="2"/>
  <c r="AD130" i="2"/>
  <c r="AJ130" i="2"/>
  <c r="AN130" i="2"/>
  <c r="AD131" i="2"/>
  <c r="AJ131" i="2"/>
  <c r="AN131" i="2"/>
  <c r="AD132" i="2"/>
  <c r="AJ132" i="2"/>
  <c r="AN132" i="2"/>
  <c r="AD133" i="2"/>
  <c r="AJ133" i="2"/>
  <c r="AN133" i="2"/>
  <c r="AD134" i="2"/>
  <c r="AJ134" i="2"/>
  <c r="AN134" i="2"/>
  <c r="AD135" i="2"/>
  <c r="AJ135" i="2"/>
  <c r="AN135" i="2"/>
  <c r="AD136" i="2"/>
  <c r="AJ136" i="2"/>
  <c r="AN136" i="2"/>
  <c r="AD137" i="2"/>
  <c r="AJ137" i="2"/>
  <c r="AN137" i="2"/>
  <c r="AD138" i="2"/>
  <c r="AJ138" i="2"/>
  <c r="AN138" i="2"/>
  <c r="AD139" i="2"/>
  <c r="AJ139" i="2"/>
  <c r="AN139" i="2"/>
  <c r="AD140" i="2"/>
  <c r="AJ140" i="2"/>
  <c r="AN140" i="2"/>
  <c r="AD141" i="2"/>
  <c r="AJ141" i="2"/>
  <c r="AN141" i="2"/>
  <c r="AD142" i="2"/>
  <c r="AJ142" i="2"/>
  <c r="AN142" i="2"/>
  <c r="AD143" i="2"/>
  <c r="AJ143" i="2"/>
  <c r="AN143" i="2"/>
  <c r="AD144" i="2"/>
  <c r="AJ144" i="2"/>
  <c r="AN144" i="2"/>
  <c r="AD145" i="2"/>
  <c r="AJ145" i="2"/>
  <c r="AN145" i="2"/>
  <c r="AD146" i="2"/>
  <c r="AJ146" i="2"/>
  <c r="AN146" i="2"/>
  <c r="AD147" i="2"/>
  <c r="AJ147" i="2"/>
  <c r="AN147" i="2"/>
  <c r="AD148" i="2"/>
  <c r="AJ148" i="2"/>
  <c r="AN148" i="2"/>
  <c r="AD149" i="2"/>
  <c r="AJ149" i="2"/>
  <c r="AN149" i="2"/>
  <c r="AD150" i="2"/>
  <c r="AJ150" i="2"/>
  <c r="AN150" i="2"/>
  <c r="AD151" i="2"/>
  <c r="AJ151" i="2"/>
  <c r="AN151" i="2"/>
  <c r="AD152" i="2"/>
  <c r="AJ152" i="2"/>
  <c r="AN152" i="2"/>
  <c r="AD153" i="2"/>
  <c r="AJ153" i="2"/>
  <c r="AN153" i="2"/>
  <c r="AD154" i="2"/>
  <c r="AJ154" i="2"/>
  <c r="AN154" i="2"/>
  <c r="AD155" i="2"/>
  <c r="AJ155" i="2"/>
  <c r="AN155" i="2"/>
  <c r="AD156" i="2"/>
  <c r="AJ156" i="2"/>
  <c r="AN156" i="2"/>
  <c r="AD157" i="2"/>
  <c r="AJ157" i="2"/>
  <c r="AN157" i="2"/>
  <c r="AD158" i="2"/>
  <c r="AJ158" i="2"/>
  <c r="AN158" i="2"/>
  <c r="AD159" i="2"/>
  <c r="AJ159" i="2"/>
  <c r="AN159" i="2"/>
  <c r="AD160" i="2"/>
  <c r="AJ160" i="2"/>
  <c r="AN160" i="2"/>
  <c r="AD161" i="2"/>
  <c r="AJ161" i="2"/>
  <c r="AN161" i="2"/>
  <c r="AD162" i="2"/>
  <c r="AJ162" i="2"/>
  <c r="AN162" i="2"/>
  <c r="AD163" i="2"/>
  <c r="AJ163" i="2"/>
  <c r="AN163" i="2"/>
  <c r="AD164" i="2"/>
  <c r="AJ164" i="2"/>
  <c r="AN164" i="2"/>
  <c r="AD165" i="2"/>
  <c r="AJ165" i="2"/>
  <c r="AN165" i="2"/>
  <c r="AD166" i="2"/>
  <c r="AJ166" i="2"/>
  <c r="AN166" i="2"/>
  <c r="AD167" i="2"/>
  <c r="AJ167" i="2"/>
  <c r="AN167" i="2"/>
  <c r="AD168" i="2"/>
  <c r="AJ168" i="2"/>
  <c r="AN168" i="2"/>
  <c r="AD169" i="2"/>
  <c r="AJ169" i="2"/>
  <c r="AN169" i="2"/>
  <c r="AD170" i="2"/>
  <c r="AJ170" i="2"/>
  <c r="AN170" i="2"/>
  <c r="AD171" i="2"/>
  <c r="AJ171" i="2"/>
  <c r="AN171" i="2"/>
  <c r="AD172" i="2"/>
  <c r="AJ172" i="2"/>
  <c r="AN172" i="2"/>
  <c r="AD173" i="2"/>
  <c r="AJ173" i="2"/>
  <c r="AN173" i="2"/>
  <c r="AD174" i="2"/>
  <c r="AJ174" i="2"/>
  <c r="AN174" i="2"/>
  <c r="AD175" i="2"/>
  <c r="AJ175" i="2"/>
  <c r="AN175" i="2"/>
  <c r="AD176" i="2"/>
  <c r="AJ176" i="2"/>
  <c r="AN176" i="2"/>
  <c r="AD177" i="2"/>
  <c r="AJ177" i="2"/>
  <c r="AN177" i="2"/>
  <c r="AD178" i="2"/>
  <c r="AJ178" i="2"/>
  <c r="AN178" i="2"/>
  <c r="AD179" i="2"/>
  <c r="AJ179" i="2"/>
  <c r="AN179" i="2"/>
  <c r="AD180" i="2"/>
  <c r="AJ180" i="2"/>
  <c r="AN180" i="2"/>
  <c r="AD181" i="2"/>
  <c r="AJ181" i="2"/>
  <c r="AN181" i="2"/>
  <c r="AD182" i="2"/>
  <c r="AJ182" i="2"/>
  <c r="AN182" i="2"/>
  <c r="AD183" i="2"/>
  <c r="AJ183" i="2"/>
  <c r="AN183" i="2"/>
  <c r="AD184" i="2"/>
  <c r="AJ184" i="2"/>
  <c r="AN184" i="2"/>
  <c r="AD185" i="2"/>
  <c r="AJ185" i="2"/>
  <c r="AN185" i="2"/>
  <c r="AD186" i="2"/>
  <c r="AJ186" i="2"/>
  <c r="AN186" i="2"/>
  <c r="AD187" i="2"/>
  <c r="AJ187" i="2"/>
  <c r="AN187" i="2"/>
  <c r="AD188" i="2"/>
  <c r="AJ188" i="2"/>
  <c r="AN188" i="2"/>
  <c r="AD189" i="2"/>
  <c r="AJ189" i="2"/>
  <c r="AN189" i="2"/>
  <c r="AD190" i="2"/>
  <c r="AJ190" i="2"/>
  <c r="AN190" i="2"/>
  <c r="AD191" i="2"/>
  <c r="AJ191" i="2"/>
  <c r="AN191" i="2"/>
  <c r="AD192" i="2"/>
  <c r="AJ192" i="2"/>
  <c r="AN192" i="2"/>
  <c r="AD193" i="2"/>
  <c r="AJ193" i="2"/>
  <c r="AN193" i="2"/>
  <c r="AD194" i="2"/>
  <c r="AJ194" i="2"/>
  <c r="AN194" i="2"/>
  <c r="AD195" i="2"/>
  <c r="AJ195" i="2"/>
  <c r="AN195" i="2"/>
  <c r="AD196" i="2"/>
  <c r="AJ196" i="2"/>
  <c r="AN196" i="2"/>
  <c r="AD197" i="2"/>
  <c r="AJ197" i="2"/>
  <c r="AN197" i="2"/>
  <c r="AD198" i="2"/>
  <c r="AJ198" i="2"/>
  <c r="AN198" i="2"/>
  <c r="AD199" i="2"/>
  <c r="AJ199" i="2"/>
  <c r="AN199" i="2"/>
  <c r="AD200" i="2"/>
  <c r="AJ200" i="2"/>
  <c r="AN200" i="2"/>
  <c r="AD201" i="2"/>
  <c r="AJ201" i="2"/>
  <c r="AN201" i="2"/>
  <c r="AD202" i="2"/>
  <c r="AJ202" i="2"/>
  <c r="AN202" i="2"/>
  <c r="AD203" i="2"/>
  <c r="AJ203" i="2"/>
  <c r="AN203" i="2"/>
  <c r="AD204" i="2"/>
  <c r="AJ204" i="2"/>
  <c r="AN204" i="2"/>
  <c r="AD205" i="2"/>
  <c r="AJ205" i="2"/>
  <c r="AN205" i="2"/>
  <c r="AD206" i="2"/>
  <c r="AJ206" i="2"/>
  <c r="AN206" i="2"/>
  <c r="AD207" i="2"/>
  <c r="AJ207" i="2"/>
  <c r="AN207" i="2"/>
  <c r="AD208" i="2"/>
  <c r="AJ208" i="2"/>
  <c r="AN208" i="2"/>
  <c r="AD209" i="2"/>
  <c r="AJ209" i="2"/>
  <c r="AN209" i="2"/>
  <c r="AD210" i="2"/>
  <c r="AJ210" i="2"/>
  <c r="AN210" i="2"/>
  <c r="AD211" i="2"/>
  <c r="AJ211" i="2"/>
  <c r="AN211" i="2"/>
  <c r="AD212" i="2"/>
  <c r="AJ212" i="2"/>
  <c r="AN212" i="2"/>
  <c r="AD213" i="2"/>
  <c r="AJ213" i="2"/>
  <c r="AN213" i="2"/>
  <c r="AD214" i="2"/>
  <c r="AJ214" i="2"/>
  <c r="AN214" i="2"/>
  <c r="AD215" i="2"/>
  <c r="AJ215" i="2"/>
  <c r="AN215" i="2"/>
  <c r="AD216" i="2"/>
  <c r="AJ216" i="2"/>
  <c r="AN216" i="2"/>
  <c r="AD217" i="2"/>
  <c r="AJ217" i="2"/>
  <c r="AN217" i="2"/>
  <c r="AD218" i="2"/>
  <c r="AJ218" i="2"/>
  <c r="AN218" i="2"/>
  <c r="AD219" i="2"/>
  <c r="AJ219" i="2"/>
  <c r="AN219" i="2"/>
  <c r="AD220" i="2"/>
  <c r="AJ220" i="2"/>
  <c r="AN220" i="2"/>
  <c r="AD221" i="2"/>
  <c r="AJ221" i="2"/>
  <c r="AN221" i="2"/>
  <c r="AD222" i="2"/>
  <c r="AJ222" i="2"/>
  <c r="AN222" i="2"/>
  <c r="AD223" i="2"/>
  <c r="AJ223" i="2"/>
  <c r="AN223" i="2"/>
  <c r="AD224" i="2"/>
  <c r="AJ224" i="2"/>
  <c r="AN224" i="2"/>
  <c r="AD225" i="2"/>
  <c r="AJ225" i="2"/>
  <c r="AN225" i="2"/>
  <c r="AD226" i="2"/>
  <c r="AJ226" i="2"/>
  <c r="AN226" i="2"/>
  <c r="AD227" i="2"/>
  <c r="AJ227" i="2"/>
  <c r="AN227" i="2"/>
  <c r="AD228" i="2"/>
  <c r="AJ228" i="2"/>
  <c r="AN228" i="2"/>
  <c r="AD229" i="2"/>
  <c r="AJ229" i="2"/>
  <c r="AN229" i="2"/>
  <c r="AD230" i="2"/>
  <c r="AJ230" i="2"/>
  <c r="AN230" i="2"/>
  <c r="AD231" i="2"/>
  <c r="AJ231" i="2"/>
  <c r="AN231" i="2"/>
  <c r="AD232" i="2"/>
  <c r="AJ232" i="2"/>
  <c r="AN232" i="2"/>
  <c r="AD233" i="2"/>
  <c r="AJ233" i="2"/>
  <c r="AN233" i="2"/>
  <c r="AD234" i="2"/>
  <c r="AJ234" i="2"/>
  <c r="AN234" i="2"/>
  <c r="AD235" i="2"/>
  <c r="AJ235" i="2"/>
  <c r="AN235" i="2"/>
  <c r="AD236" i="2"/>
  <c r="AJ236" i="2"/>
  <c r="AN236" i="2"/>
  <c r="AD237" i="2"/>
  <c r="AJ237" i="2"/>
  <c r="AN237" i="2"/>
  <c r="AD238" i="2"/>
  <c r="AJ238" i="2"/>
  <c r="AN238" i="2"/>
  <c r="AD239" i="2"/>
  <c r="AJ239" i="2"/>
  <c r="AN239" i="2"/>
  <c r="AD240" i="2"/>
  <c r="AJ240" i="2"/>
  <c r="AN240" i="2"/>
  <c r="AD241" i="2"/>
  <c r="AJ241" i="2"/>
  <c r="AN241" i="2"/>
  <c r="AD242" i="2"/>
  <c r="AJ242" i="2"/>
  <c r="AN242" i="2"/>
  <c r="AD243" i="2"/>
  <c r="AJ243" i="2"/>
  <c r="AN243" i="2"/>
  <c r="AD244" i="2"/>
  <c r="AJ244" i="2"/>
  <c r="AN244" i="2"/>
  <c r="AD245" i="2"/>
  <c r="AJ245" i="2"/>
  <c r="AN245" i="2"/>
  <c r="AD246" i="2"/>
  <c r="AJ246" i="2"/>
  <c r="AN246" i="2"/>
  <c r="AD247" i="2"/>
  <c r="AJ247" i="2"/>
  <c r="AN247" i="2"/>
  <c r="AD248" i="2"/>
  <c r="AJ248" i="2"/>
  <c r="AN248" i="2"/>
  <c r="AD249" i="2"/>
  <c r="AJ249" i="2"/>
  <c r="AN249" i="2"/>
  <c r="AD250" i="2"/>
  <c r="AJ250" i="2"/>
  <c r="AN250" i="2"/>
  <c r="AD251" i="2"/>
  <c r="AJ251" i="2"/>
  <c r="AN251" i="2"/>
  <c r="AD252" i="2"/>
  <c r="AJ252" i="2"/>
  <c r="AN252" i="2"/>
  <c r="AD253" i="2"/>
  <c r="AJ253" i="2"/>
  <c r="AN253" i="2"/>
  <c r="AD254" i="2"/>
  <c r="AJ254" i="2"/>
  <c r="AN254" i="2"/>
  <c r="AD255" i="2"/>
  <c r="AJ255" i="2"/>
  <c r="AN255" i="2"/>
  <c r="AD256" i="2"/>
  <c r="AJ256" i="2"/>
  <c r="AN256" i="2"/>
  <c r="AD257" i="2"/>
  <c r="AJ257" i="2"/>
  <c r="AN257" i="2"/>
  <c r="AD258" i="2"/>
  <c r="AJ258" i="2"/>
  <c r="AN258" i="2"/>
  <c r="AD259" i="2"/>
  <c r="AJ259" i="2"/>
  <c r="AN259" i="2"/>
  <c r="AD260" i="2"/>
  <c r="AJ260" i="2"/>
  <c r="AN260" i="2"/>
  <c r="AD261" i="2"/>
  <c r="AJ261" i="2"/>
  <c r="AN261" i="2"/>
  <c r="AD262" i="2"/>
  <c r="AJ262" i="2"/>
  <c r="AN262" i="2"/>
  <c r="AD263" i="2"/>
  <c r="AJ263" i="2"/>
  <c r="AN263" i="2"/>
  <c r="AD264" i="2"/>
  <c r="AJ264" i="2"/>
  <c r="AN264" i="2"/>
  <c r="AD265" i="2"/>
  <c r="AJ265" i="2"/>
  <c r="AN265" i="2"/>
  <c r="AD266" i="2"/>
  <c r="AJ266" i="2"/>
  <c r="AN266" i="2"/>
  <c r="AD267" i="2"/>
  <c r="AJ267" i="2"/>
  <c r="AN267" i="2"/>
  <c r="AD268" i="2"/>
  <c r="AJ268" i="2"/>
  <c r="AN268" i="2"/>
  <c r="AD269" i="2"/>
  <c r="AJ269" i="2"/>
  <c r="AN269" i="2"/>
  <c r="AD270" i="2"/>
  <c r="AJ270" i="2"/>
  <c r="AN270" i="2"/>
  <c r="AD271" i="2"/>
  <c r="AJ271" i="2"/>
  <c r="AN271" i="2"/>
  <c r="AD272" i="2"/>
  <c r="AJ272" i="2"/>
  <c r="AN272" i="2"/>
  <c r="AD273" i="2"/>
  <c r="AJ273" i="2"/>
  <c r="AN273" i="2"/>
  <c r="AD274" i="2"/>
  <c r="AJ274" i="2"/>
  <c r="AN274" i="2"/>
  <c r="AD275" i="2"/>
  <c r="AJ275" i="2"/>
  <c r="AN275" i="2"/>
  <c r="AD276" i="2"/>
  <c r="AJ276" i="2"/>
  <c r="AN276" i="2"/>
  <c r="AD277" i="2"/>
  <c r="AJ277" i="2"/>
  <c r="AN277" i="2"/>
  <c r="AD278" i="2"/>
  <c r="AJ278" i="2"/>
  <c r="AN278" i="2"/>
  <c r="AD279" i="2"/>
  <c r="AJ279" i="2"/>
  <c r="AN279" i="2"/>
  <c r="AD280" i="2"/>
  <c r="AJ280" i="2"/>
  <c r="AN280" i="2"/>
  <c r="AD281" i="2"/>
  <c r="AJ281" i="2"/>
  <c r="AN281" i="2"/>
  <c r="AD282" i="2"/>
  <c r="AJ282" i="2"/>
  <c r="AN282" i="2"/>
  <c r="AD283" i="2"/>
  <c r="AJ283" i="2"/>
  <c r="AN283" i="2"/>
  <c r="AD284" i="2"/>
  <c r="AJ284" i="2"/>
  <c r="AN284" i="2"/>
  <c r="AD285" i="2"/>
  <c r="AJ285" i="2"/>
  <c r="AN285" i="2"/>
  <c r="AD286" i="2"/>
  <c r="AJ286" i="2"/>
  <c r="AN286" i="2"/>
  <c r="AD287" i="2"/>
  <c r="AJ287" i="2"/>
  <c r="AN287" i="2"/>
  <c r="AD288" i="2"/>
  <c r="AJ288" i="2"/>
  <c r="AN288" i="2"/>
  <c r="AD289" i="2"/>
  <c r="AJ289" i="2"/>
  <c r="AN289" i="2"/>
  <c r="AD290" i="2"/>
  <c r="AJ290" i="2"/>
  <c r="AN290" i="2"/>
  <c r="AD291" i="2"/>
  <c r="AJ291" i="2"/>
  <c r="AN291" i="2"/>
  <c r="AD292" i="2"/>
  <c r="AJ292" i="2"/>
  <c r="AN292" i="2"/>
  <c r="AD293" i="2"/>
  <c r="AJ293" i="2"/>
  <c r="AN293" i="2"/>
  <c r="AD294" i="2"/>
  <c r="AJ294" i="2"/>
  <c r="AN294" i="2"/>
  <c r="AD295" i="2"/>
  <c r="AJ295" i="2"/>
  <c r="AN295" i="2"/>
  <c r="AD296" i="2"/>
  <c r="AJ296" i="2"/>
  <c r="AN296" i="2"/>
  <c r="AD297" i="2"/>
  <c r="AJ297" i="2"/>
  <c r="AN297" i="2"/>
  <c r="AD298" i="2"/>
  <c r="AJ298" i="2"/>
  <c r="AN298" i="2"/>
  <c r="AD299" i="2"/>
  <c r="AJ299" i="2"/>
  <c r="AN299" i="2"/>
  <c r="AD300" i="2"/>
  <c r="AJ300" i="2"/>
  <c r="AN300" i="2"/>
  <c r="AD301" i="2"/>
  <c r="AJ301" i="2"/>
  <c r="AN301" i="2"/>
  <c r="AD302" i="2"/>
  <c r="AJ302" i="2"/>
  <c r="AN302" i="2"/>
  <c r="AD303" i="2"/>
  <c r="AJ303" i="2"/>
  <c r="AN303" i="2"/>
  <c r="AD304" i="2"/>
  <c r="AJ304" i="2"/>
  <c r="AN304" i="2"/>
  <c r="AD305" i="2"/>
  <c r="AJ305" i="2"/>
  <c r="AN305" i="2"/>
  <c r="AD306" i="2"/>
  <c r="AJ306" i="2"/>
  <c r="AN306" i="2"/>
  <c r="AD307" i="2"/>
  <c r="AJ307" i="2"/>
  <c r="AN307" i="2"/>
  <c r="AD308" i="2"/>
  <c r="AJ308" i="2"/>
  <c r="AN308" i="2"/>
  <c r="AD309" i="2"/>
  <c r="AJ309" i="2"/>
  <c r="AN309" i="2"/>
  <c r="AD310" i="2"/>
  <c r="AJ310" i="2"/>
  <c r="AN310" i="2"/>
  <c r="AD311" i="2"/>
  <c r="AJ311" i="2"/>
  <c r="AN311" i="2"/>
  <c r="AD312" i="2"/>
  <c r="AJ312" i="2"/>
  <c r="AN312" i="2"/>
  <c r="AD313" i="2"/>
  <c r="AJ313" i="2"/>
  <c r="AN313" i="2"/>
  <c r="AD314" i="2"/>
  <c r="AJ314" i="2"/>
  <c r="AN314" i="2"/>
  <c r="AD315" i="2"/>
  <c r="AJ315" i="2"/>
  <c r="AN315" i="2"/>
  <c r="AD316" i="2"/>
  <c r="AJ316" i="2"/>
  <c r="AN316" i="2"/>
  <c r="AD317" i="2"/>
  <c r="AJ317" i="2"/>
  <c r="AN317" i="2"/>
  <c r="AD318" i="2"/>
  <c r="AJ318" i="2"/>
  <c r="AN318" i="2"/>
  <c r="AD319" i="2"/>
  <c r="AJ319" i="2"/>
  <c r="AN319" i="2"/>
  <c r="AD320" i="2"/>
  <c r="AJ320" i="2"/>
  <c r="AN320" i="2"/>
  <c r="AD321" i="2"/>
  <c r="AJ321" i="2"/>
  <c r="AN321" i="2"/>
  <c r="AD322" i="2"/>
  <c r="AJ322" i="2"/>
  <c r="AN322" i="2"/>
  <c r="AD323" i="2"/>
  <c r="AJ323" i="2"/>
  <c r="AN323" i="2"/>
  <c r="AD324" i="2"/>
  <c r="AJ324" i="2"/>
  <c r="AN324" i="2"/>
  <c r="AD325" i="2"/>
  <c r="AJ325" i="2"/>
  <c r="AN325" i="2"/>
  <c r="AD326" i="2"/>
  <c r="AJ326" i="2"/>
  <c r="AN326" i="2"/>
  <c r="AD327" i="2"/>
  <c r="AJ327" i="2"/>
  <c r="AN327" i="2"/>
  <c r="AD328" i="2"/>
  <c r="AJ328" i="2"/>
  <c r="AN328" i="2"/>
  <c r="AD329" i="2"/>
  <c r="AJ329" i="2"/>
  <c r="AN329" i="2"/>
  <c r="AD330" i="2"/>
  <c r="AJ330" i="2"/>
  <c r="AN330" i="2"/>
  <c r="AD331" i="2"/>
  <c r="AJ331" i="2"/>
  <c r="AN331" i="2"/>
  <c r="AD332" i="2"/>
  <c r="AJ332" i="2"/>
  <c r="AN332" i="2"/>
  <c r="AD333" i="2"/>
  <c r="AJ333" i="2"/>
  <c r="AN333" i="2"/>
  <c r="AD334" i="2"/>
  <c r="AJ334" i="2"/>
  <c r="AN334" i="2"/>
  <c r="AD335" i="2"/>
  <c r="AJ335" i="2"/>
  <c r="AN335" i="2"/>
  <c r="AD336" i="2"/>
  <c r="AJ336" i="2"/>
  <c r="AN336" i="2"/>
  <c r="AD337" i="2"/>
  <c r="AJ337" i="2"/>
  <c r="AN337" i="2"/>
  <c r="AD338" i="2"/>
  <c r="AJ338" i="2"/>
  <c r="AN338" i="2"/>
  <c r="AD339" i="2"/>
  <c r="AJ339" i="2"/>
  <c r="AN339" i="2"/>
  <c r="AD340" i="2"/>
  <c r="AJ340" i="2"/>
  <c r="AN340" i="2"/>
  <c r="AD341" i="2"/>
  <c r="AJ341" i="2"/>
  <c r="AN341" i="2"/>
  <c r="AD342" i="2"/>
  <c r="AJ342" i="2"/>
  <c r="AN342" i="2"/>
  <c r="AD343" i="2"/>
  <c r="AJ343" i="2"/>
  <c r="AN343" i="2"/>
  <c r="AD344" i="2"/>
  <c r="AJ344" i="2"/>
  <c r="AN344" i="2"/>
  <c r="AD345" i="2"/>
  <c r="AJ345" i="2"/>
  <c r="AN345" i="2"/>
  <c r="AD346" i="2"/>
  <c r="AJ346" i="2"/>
  <c r="AN346" i="2"/>
  <c r="AD347" i="2"/>
  <c r="AJ347" i="2"/>
  <c r="AN347" i="2"/>
  <c r="AD348" i="2"/>
  <c r="AJ348" i="2"/>
  <c r="AN348" i="2"/>
  <c r="AD349" i="2"/>
  <c r="AJ349" i="2"/>
  <c r="AN349" i="2"/>
  <c r="AD350" i="2"/>
  <c r="AJ350" i="2"/>
  <c r="AN350" i="2"/>
  <c r="AD351" i="2"/>
  <c r="AJ351" i="2"/>
  <c r="AN351" i="2"/>
  <c r="AD352" i="2"/>
  <c r="AJ352" i="2"/>
  <c r="AN352" i="2"/>
  <c r="AD353" i="2"/>
  <c r="AJ353" i="2"/>
  <c r="AN353" i="2"/>
  <c r="AD354" i="2"/>
  <c r="AJ354" i="2"/>
  <c r="AN354" i="2"/>
  <c r="AD355" i="2"/>
  <c r="AJ355" i="2"/>
  <c r="AN355" i="2"/>
  <c r="AD356" i="2"/>
  <c r="AJ356" i="2"/>
  <c r="AN356" i="2"/>
  <c r="AD357" i="2"/>
  <c r="AJ357" i="2"/>
  <c r="AN357" i="2"/>
  <c r="AD358" i="2"/>
  <c r="AJ358" i="2"/>
  <c r="AN358" i="2"/>
  <c r="AD359" i="2"/>
  <c r="AJ359" i="2"/>
  <c r="AN359" i="2"/>
  <c r="AD360" i="2"/>
  <c r="AJ360" i="2"/>
  <c r="AN360" i="2"/>
  <c r="AD361" i="2"/>
  <c r="AJ361" i="2"/>
  <c r="AN361" i="2"/>
  <c r="AD362" i="2"/>
  <c r="AJ362" i="2"/>
  <c r="AN362" i="2"/>
  <c r="AD363" i="2"/>
  <c r="AJ363" i="2"/>
  <c r="AN363" i="2"/>
  <c r="AD364" i="2"/>
  <c r="AJ364" i="2"/>
  <c r="AN364" i="2"/>
  <c r="AD365" i="2"/>
  <c r="AJ365" i="2"/>
  <c r="AN365" i="2"/>
  <c r="AD366" i="2"/>
  <c r="AJ366" i="2"/>
  <c r="AN366" i="2"/>
  <c r="AD367" i="2"/>
  <c r="AJ367" i="2"/>
  <c r="AN367" i="2"/>
  <c r="AD368" i="2"/>
  <c r="AJ368" i="2"/>
  <c r="AN368" i="2"/>
  <c r="AD369" i="2"/>
  <c r="AJ369" i="2"/>
  <c r="AN369" i="2"/>
  <c r="AD370" i="2"/>
  <c r="AJ370" i="2"/>
  <c r="AN370" i="2"/>
  <c r="AD371" i="2"/>
  <c r="AJ371" i="2"/>
  <c r="AN371" i="2"/>
  <c r="AD372" i="2"/>
  <c r="AJ372" i="2"/>
  <c r="AN372" i="2"/>
  <c r="AD373" i="2"/>
  <c r="AJ373" i="2"/>
  <c r="AN373" i="2"/>
  <c r="AD374" i="2"/>
  <c r="AJ374" i="2"/>
  <c r="AN374" i="2"/>
  <c r="AD375" i="2"/>
  <c r="AJ375" i="2"/>
  <c r="AN375" i="2"/>
  <c r="AD376" i="2"/>
  <c r="AJ376" i="2"/>
  <c r="AN376" i="2"/>
  <c r="AD377" i="2"/>
  <c r="AJ377" i="2"/>
  <c r="AN377" i="2"/>
  <c r="AD378" i="2"/>
  <c r="AJ378" i="2"/>
  <c r="AN378" i="2"/>
  <c r="F379" i="2"/>
  <c r="J379" i="2"/>
  <c r="N379" i="2"/>
  <c r="Q379" i="2"/>
  <c r="R379" i="2"/>
  <c r="AD379" i="2"/>
  <c r="AJ379" i="2"/>
  <c r="AN379" i="2"/>
  <c r="E380" i="2"/>
  <c r="G397" i="2" s="1"/>
  <c r="F380" i="2"/>
  <c r="I380" i="2"/>
  <c r="K399" i="2" s="1"/>
  <c r="J380" i="2"/>
  <c r="M380" i="2"/>
  <c r="N380" i="2"/>
  <c r="Q380" i="2"/>
  <c r="R380" i="2"/>
  <c r="AD380" i="2"/>
  <c r="AJ380" i="2"/>
  <c r="AN380" i="2"/>
  <c r="E381" i="2"/>
  <c r="G398" i="2" s="1"/>
  <c r="F381" i="2"/>
  <c r="I381" i="2"/>
  <c r="J381" i="2"/>
  <c r="M381" i="2"/>
  <c r="N381" i="2"/>
  <c r="Q381" i="2"/>
  <c r="R381" i="2"/>
  <c r="AD381" i="2"/>
  <c r="AJ381" i="2"/>
  <c r="AN381" i="2"/>
  <c r="E382" i="2"/>
  <c r="G399" i="2" s="1"/>
  <c r="F382" i="2"/>
  <c r="I382" i="2"/>
  <c r="J382" i="2"/>
  <c r="M382" i="2"/>
  <c r="N382" i="2"/>
  <c r="Q382" i="2"/>
  <c r="R382" i="2"/>
  <c r="AD382" i="2"/>
  <c r="AJ382" i="2"/>
  <c r="AN382" i="2"/>
  <c r="E383" i="2"/>
  <c r="E384" i="2" s="1"/>
  <c r="F383" i="2"/>
  <c r="I383" i="2"/>
  <c r="I384" i="2" s="1"/>
  <c r="J383" i="2"/>
  <c r="M383" i="2"/>
  <c r="M384" i="2" s="1"/>
  <c r="N383" i="2"/>
  <c r="Q383" i="2"/>
  <c r="R383" i="2"/>
  <c r="AD383" i="2"/>
  <c r="AJ383" i="2"/>
  <c r="AN383" i="2"/>
  <c r="AD384" i="2"/>
  <c r="AJ384" i="2"/>
  <c r="AN384" i="2"/>
  <c r="AD385" i="2"/>
  <c r="AJ385" i="2"/>
  <c r="AN385" i="2"/>
  <c r="AD386" i="2"/>
  <c r="AJ386" i="2"/>
  <c r="AN386" i="2"/>
  <c r="AD387" i="2"/>
  <c r="AJ387" i="2"/>
  <c r="AN387" i="2"/>
  <c r="AD388" i="2"/>
  <c r="AJ388" i="2"/>
  <c r="AN388" i="2"/>
  <c r="AD389" i="2"/>
  <c r="AJ389" i="2"/>
  <c r="AN389" i="2"/>
  <c r="AD390" i="2"/>
  <c r="AJ390" i="2"/>
  <c r="AN390" i="2"/>
  <c r="AD391" i="2"/>
  <c r="AJ391" i="2"/>
  <c r="AN391" i="2"/>
  <c r="AD392" i="2"/>
  <c r="AJ392" i="2"/>
  <c r="AN392" i="2"/>
  <c r="AD393" i="2"/>
  <c r="AJ393" i="2"/>
  <c r="AN393" i="2"/>
  <c r="AD394" i="2"/>
  <c r="AJ394" i="2"/>
  <c r="AN394" i="2"/>
  <c r="AD395" i="2"/>
  <c r="AJ395" i="2"/>
  <c r="AN395" i="2"/>
  <c r="G396" i="2"/>
  <c r="AD396" i="2"/>
  <c r="AJ396" i="2"/>
  <c r="AN396" i="2"/>
  <c r="AD397" i="2"/>
  <c r="AJ397" i="2"/>
  <c r="AN397" i="2"/>
  <c r="K398" i="2"/>
  <c r="AD398" i="2"/>
  <c r="AJ398" i="2"/>
  <c r="AN398" i="2"/>
  <c r="D401" i="3" l="1"/>
  <c r="D403" i="3"/>
  <c r="D402" i="3"/>
  <c r="E385" i="2"/>
  <c r="Q384" i="2"/>
  <c r="F384" i="2"/>
  <c r="R384" i="2" s="1"/>
  <c r="I385" i="2"/>
  <c r="J384" i="2"/>
  <c r="M385" i="2"/>
  <c r="N384" i="2"/>
  <c r="I18" i="1"/>
  <c r="D5" i="3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B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E386" i="2" l="1"/>
  <c r="Q385" i="2"/>
  <c r="F385" i="2"/>
  <c r="I386" i="2"/>
  <c r="J385" i="2"/>
  <c r="M386" i="2"/>
  <c r="N385" i="2"/>
  <c r="C18" i="1"/>
  <c r="C19" i="1"/>
  <c r="C17" i="1"/>
  <c r="Q5" i="2"/>
  <c r="E5" i="2" s="1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5" i="2"/>
  <c r="I6" i="1"/>
  <c r="I5" i="1"/>
  <c r="D11" i="1"/>
  <c r="AF4" i="2" s="1"/>
  <c r="AF5" i="2" s="1"/>
  <c r="D12" i="1"/>
  <c r="AL4" i="2" s="1"/>
  <c r="AL5" i="2" s="1"/>
  <c r="AN5" i="2" s="1"/>
  <c r="D10" i="1"/>
  <c r="Z4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E387" i="2" l="1"/>
  <c r="Q386" i="2"/>
  <c r="F386" i="2"/>
  <c r="I387" i="2"/>
  <c r="J386" i="2"/>
  <c r="M387" i="2"/>
  <c r="N386" i="2"/>
  <c r="R385" i="2"/>
  <c r="C21" i="1"/>
  <c r="G22" i="2"/>
  <c r="S22" i="2" s="1"/>
  <c r="E6" i="2"/>
  <c r="G23" i="2" s="1"/>
  <c r="S23" i="2" s="1"/>
  <c r="D21" i="1"/>
  <c r="AG5" i="2"/>
  <c r="W4" i="2"/>
  <c r="Z5" i="2"/>
  <c r="AJ5" i="2"/>
  <c r="AI5" i="2"/>
  <c r="AG6" i="2" s="1"/>
  <c r="C20" i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I5" i="2"/>
  <c r="K24" i="2" s="1"/>
  <c r="F5" i="2"/>
  <c r="Q6" i="2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M5" i="2"/>
  <c r="O26" i="2" s="1"/>
  <c r="E388" i="2" l="1"/>
  <c r="Q387" i="2"/>
  <c r="F387" i="2"/>
  <c r="I388" i="2"/>
  <c r="J387" i="2"/>
  <c r="M388" i="2"/>
  <c r="N387" i="2"/>
  <c r="R386" i="2"/>
  <c r="J5" i="2"/>
  <c r="E7" i="2"/>
  <c r="AA5" i="2"/>
  <c r="D20" i="1"/>
  <c r="AD5" i="2"/>
  <c r="AC5" i="2"/>
  <c r="AA6" i="2" s="1"/>
  <c r="I6" i="2"/>
  <c r="K25" i="2" s="1"/>
  <c r="F6" i="2"/>
  <c r="N5" i="2"/>
  <c r="M6" i="2"/>
  <c r="O27" i="2" s="1"/>
  <c r="E389" i="2" l="1"/>
  <c r="Q388" i="2"/>
  <c r="F388" i="2"/>
  <c r="I389" i="2"/>
  <c r="J388" i="2"/>
  <c r="M389" i="2"/>
  <c r="N388" i="2"/>
  <c r="R387" i="2"/>
  <c r="G24" i="2"/>
  <c r="S24" i="2" s="1"/>
  <c r="E8" i="2"/>
  <c r="G25" i="2" s="1"/>
  <c r="S25" i="2" s="1"/>
  <c r="AG7" i="2"/>
  <c r="AI7" i="2" s="1"/>
  <c r="R5" i="2"/>
  <c r="G6" i="3" s="1"/>
  <c r="F7" i="2"/>
  <c r="I7" i="2"/>
  <c r="AA7" i="2"/>
  <c r="AC7" i="2" s="1"/>
  <c r="J6" i="2"/>
  <c r="M7" i="2"/>
  <c r="N6" i="2"/>
  <c r="AG8" i="2" l="1"/>
  <c r="AI8" i="2" s="1"/>
  <c r="E390" i="2"/>
  <c r="Q389" i="2"/>
  <c r="F389" i="2"/>
  <c r="R389" i="2" s="1"/>
  <c r="I390" i="2"/>
  <c r="J389" i="2"/>
  <c r="M390" i="2"/>
  <c r="N389" i="2"/>
  <c r="R388" i="2"/>
  <c r="K26" i="2"/>
  <c r="I8" i="2"/>
  <c r="K27" i="2" s="1"/>
  <c r="O28" i="2"/>
  <c r="M8" i="2"/>
  <c r="O29" i="2" s="1"/>
  <c r="T22" i="2"/>
  <c r="F8" i="2"/>
  <c r="X5" i="2"/>
  <c r="U5" i="2"/>
  <c r="V6" i="2" s="1"/>
  <c r="E9" i="2"/>
  <c r="G26" i="2" s="1"/>
  <c r="J7" i="2"/>
  <c r="AA8" i="2"/>
  <c r="AC8" i="2" s="1"/>
  <c r="R6" i="2"/>
  <c r="G7" i="3" s="1"/>
  <c r="N7" i="2"/>
  <c r="AG9" i="2" l="1"/>
  <c r="AI9" i="2" s="1"/>
  <c r="AG10" i="2"/>
  <c r="AI10" i="2"/>
  <c r="AG11" i="2" s="1"/>
  <c r="AI11" i="2" s="1"/>
  <c r="S26" i="2"/>
  <c r="E391" i="2"/>
  <c r="Q390" i="2"/>
  <c r="F390" i="2"/>
  <c r="R390" i="2" s="1"/>
  <c r="I391" i="2"/>
  <c r="J390" i="2"/>
  <c r="M391" i="2"/>
  <c r="N390" i="2"/>
  <c r="T23" i="2"/>
  <c r="W5" i="2"/>
  <c r="E10" i="2"/>
  <c r="G27" i="2" s="1"/>
  <c r="S27" i="2" s="1"/>
  <c r="F9" i="2"/>
  <c r="R7" i="2"/>
  <c r="G8" i="3" s="1"/>
  <c r="I9" i="2"/>
  <c r="K28" i="2" s="1"/>
  <c r="J8" i="2"/>
  <c r="AA9" i="2"/>
  <c r="AC9" i="2" s="1"/>
  <c r="M9" i="2"/>
  <c r="O30" i="2" s="1"/>
  <c r="N8" i="2"/>
  <c r="E392" i="2" l="1"/>
  <c r="Q391" i="2"/>
  <c r="F391" i="2"/>
  <c r="I392" i="2"/>
  <c r="J391" i="2"/>
  <c r="M392" i="2"/>
  <c r="N391" i="2"/>
  <c r="E6" i="3"/>
  <c r="F6" i="3"/>
  <c r="T24" i="2"/>
  <c r="F10" i="2"/>
  <c r="E11" i="2"/>
  <c r="G28" i="2" s="1"/>
  <c r="S28" i="2" s="1"/>
  <c r="R8" i="2"/>
  <c r="G9" i="3" s="1"/>
  <c r="I10" i="2"/>
  <c r="K29" i="2" s="1"/>
  <c r="J9" i="2"/>
  <c r="AA10" i="2"/>
  <c r="AC10" i="2" s="1"/>
  <c r="AG12" i="2"/>
  <c r="AI12" i="2" s="1"/>
  <c r="M10" i="2"/>
  <c r="O31" i="2" s="1"/>
  <c r="N9" i="2"/>
  <c r="D6" i="3" l="1"/>
  <c r="E393" i="2"/>
  <c r="Q392" i="2"/>
  <c r="F392" i="2"/>
  <c r="I393" i="2"/>
  <c r="J392" i="2"/>
  <c r="M393" i="2"/>
  <c r="N392" i="2"/>
  <c r="R391" i="2"/>
  <c r="T25" i="2"/>
  <c r="E12" i="2"/>
  <c r="G29" i="2" s="1"/>
  <c r="S29" i="2" s="1"/>
  <c r="F11" i="2"/>
  <c r="R9" i="2"/>
  <c r="G10" i="3" s="1"/>
  <c r="I11" i="2"/>
  <c r="K30" i="2" s="1"/>
  <c r="J10" i="2"/>
  <c r="AA11" i="2"/>
  <c r="AC11" i="2" s="1"/>
  <c r="AG13" i="2"/>
  <c r="AI13" i="2" s="1"/>
  <c r="M11" i="2"/>
  <c r="O32" i="2" s="1"/>
  <c r="N10" i="2"/>
  <c r="X6" i="2" l="1"/>
  <c r="U6" i="2"/>
  <c r="E394" i="2"/>
  <c r="Q393" i="2"/>
  <c r="F393" i="2"/>
  <c r="I394" i="2"/>
  <c r="J393" i="2"/>
  <c r="M394" i="2"/>
  <c r="N393" i="2"/>
  <c r="R392" i="2"/>
  <c r="T26" i="2"/>
  <c r="E13" i="2"/>
  <c r="G30" i="2" s="1"/>
  <c r="S30" i="2" s="1"/>
  <c r="F12" i="2"/>
  <c r="I12" i="2"/>
  <c r="K31" i="2" s="1"/>
  <c r="J11" i="2"/>
  <c r="R10" i="2"/>
  <c r="G11" i="3" s="1"/>
  <c r="AA12" i="2"/>
  <c r="AC12" i="2" s="1"/>
  <c r="AG14" i="2"/>
  <c r="AI14" i="2" s="1"/>
  <c r="M12" i="2"/>
  <c r="O33" i="2" s="1"/>
  <c r="N11" i="2"/>
  <c r="AA13" i="2" l="1"/>
  <c r="AC13" i="2" s="1"/>
  <c r="AA14" i="2" s="1"/>
  <c r="AC14" i="2" s="1"/>
  <c r="V7" i="2"/>
  <c r="W6" i="2"/>
  <c r="E395" i="2"/>
  <c r="Q394" i="2"/>
  <c r="F394" i="2"/>
  <c r="I395" i="2"/>
  <c r="J394" i="2"/>
  <c r="M395" i="2"/>
  <c r="N394" i="2"/>
  <c r="R393" i="2"/>
  <c r="T27" i="2"/>
  <c r="E14" i="2"/>
  <c r="G31" i="2" s="1"/>
  <c r="S31" i="2" s="1"/>
  <c r="F13" i="2"/>
  <c r="R11" i="2"/>
  <c r="G12" i="3" s="1"/>
  <c r="I13" i="2"/>
  <c r="K32" i="2" s="1"/>
  <c r="J12" i="2"/>
  <c r="AG15" i="2"/>
  <c r="AI15" i="2" s="1"/>
  <c r="M13" i="2"/>
  <c r="O34" i="2" s="1"/>
  <c r="N12" i="2"/>
  <c r="E7" i="3" l="1"/>
  <c r="F7" i="3"/>
  <c r="E396" i="2"/>
  <c r="Q395" i="2"/>
  <c r="F395" i="2"/>
  <c r="I396" i="2"/>
  <c r="J395" i="2"/>
  <c r="M396" i="2"/>
  <c r="N395" i="2"/>
  <c r="R394" i="2"/>
  <c r="T28" i="2"/>
  <c r="E15" i="2"/>
  <c r="G32" i="2" s="1"/>
  <c r="S32" i="2" s="1"/>
  <c r="F14" i="2"/>
  <c r="I14" i="2"/>
  <c r="K33" i="2" s="1"/>
  <c r="J13" i="2"/>
  <c r="R12" i="2"/>
  <c r="G13" i="3" s="1"/>
  <c r="AA15" i="2"/>
  <c r="AC15" i="2" s="1"/>
  <c r="AG16" i="2"/>
  <c r="AI16" i="2" s="1"/>
  <c r="M14" i="2"/>
  <c r="O35" i="2" s="1"/>
  <c r="N13" i="2"/>
  <c r="D7" i="3" l="1"/>
  <c r="E397" i="2"/>
  <c r="Q396" i="2"/>
  <c r="F396" i="2"/>
  <c r="R396" i="2" s="1"/>
  <c r="I397" i="2"/>
  <c r="J396" i="2"/>
  <c r="M397" i="2"/>
  <c r="N396" i="2"/>
  <c r="R395" i="2"/>
  <c r="T29" i="2"/>
  <c r="F15" i="2"/>
  <c r="E16" i="2"/>
  <c r="G33" i="2" s="1"/>
  <c r="S33" i="2" s="1"/>
  <c r="AA16" i="2"/>
  <c r="AC16" i="2" s="1"/>
  <c r="R13" i="2"/>
  <c r="G14" i="3" s="1"/>
  <c r="J14" i="2"/>
  <c r="I15" i="2"/>
  <c r="K34" i="2" s="1"/>
  <c r="AG17" i="2"/>
  <c r="AI17" i="2" s="1"/>
  <c r="M15" i="2"/>
  <c r="O36" i="2" s="1"/>
  <c r="N14" i="2"/>
  <c r="AA17" i="2" l="1"/>
  <c r="AC17" i="2" s="1"/>
  <c r="AA18" i="2" s="1"/>
  <c r="AC18" i="2" s="1"/>
  <c r="X7" i="2"/>
  <c r="U7" i="2"/>
  <c r="E398" i="2"/>
  <c r="Q397" i="2"/>
  <c r="F397" i="2"/>
  <c r="I398" i="2"/>
  <c r="J397" i="2"/>
  <c r="M398" i="2"/>
  <c r="N397" i="2"/>
  <c r="T30" i="2"/>
  <c r="E17" i="2"/>
  <c r="G34" i="2" s="1"/>
  <c r="S34" i="2" s="1"/>
  <c r="F16" i="2"/>
  <c r="J15" i="2"/>
  <c r="I16" i="2"/>
  <c r="K35" i="2" s="1"/>
  <c r="R14" i="2"/>
  <c r="G15" i="3" s="1"/>
  <c r="AG18" i="2"/>
  <c r="AI18" i="2" s="1"/>
  <c r="M16" i="2"/>
  <c r="O37" i="2" s="1"/>
  <c r="N15" i="2"/>
  <c r="W7" i="2" l="1"/>
  <c r="V8" i="2"/>
  <c r="E399" i="2"/>
  <c r="Q398" i="2"/>
  <c r="F398" i="2"/>
  <c r="I399" i="2"/>
  <c r="J399" i="2" s="1"/>
  <c r="J398" i="2"/>
  <c r="M399" i="2"/>
  <c r="N399" i="2" s="1"/>
  <c r="N398" i="2"/>
  <c r="R397" i="2"/>
  <c r="T31" i="2"/>
  <c r="F17" i="2"/>
  <c r="E18" i="2"/>
  <c r="G35" i="2" s="1"/>
  <c r="S35" i="2" s="1"/>
  <c r="I17" i="2"/>
  <c r="K36" i="2" s="1"/>
  <c r="J16" i="2"/>
  <c r="R15" i="2"/>
  <c r="G16" i="3" s="1"/>
  <c r="AG19" i="2"/>
  <c r="AI19" i="2" s="1"/>
  <c r="AA19" i="2"/>
  <c r="AC19" i="2" s="1"/>
  <c r="M17" i="2"/>
  <c r="O38" i="2" s="1"/>
  <c r="N16" i="2"/>
  <c r="E8" i="3" l="1"/>
  <c r="F8" i="3"/>
  <c r="D8" i="3" s="1"/>
  <c r="X8" i="2" s="1"/>
  <c r="Q399" i="2"/>
  <c r="F399" i="2"/>
  <c r="R399" i="2" s="1"/>
  <c r="R398" i="2"/>
  <c r="T32" i="2"/>
  <c r="F18" i="2"/>
  <c r="E19" i="2"/>
  <c r="G36" i="2" s="1"/>
  <c r="S36" i="2" s="1"/>
  <c r="R16" i="2"/>
  <c r="G17" i="3" s="1"/>
  <c r="I18" i="2"/>
  <c r="K37" i="2" s="1"/>
  <c r="J17" i="2"/>
  <c r="AG20" i="2"/>
  <c r="AI20" i="2" s="1"/>
  <c r="AA20" i="2"/>
  <c r="AC20" i="2" s="1"/>
  <c r="M18" i="2"/>
  <c r="O39" i="2" s="1"/>
  <c r="N17" i="2"/>
  <c r="T33" i="2" l="1"/>
  <c r="E20" i="2"/>
  <c r="G37" i="2" s="1"/>
  <c r="S37" i="2" s="1"/>
  <c r="F19" i="2"/>
  <c r="R17" i="2"/>
  <c r="G18" i="3" s="1"/>
  <c r="U8" i="2"/>
  <c r="I19" i="2"/>
  <c r="K38" i="2" s="1"/>
  <c r="J18" i="2"/>
  <c r="AG21" i="2"/>
  <c r="AI21" i="2" s="1"/>
  <c r="AA21" i="2"/>
  <c r="AC21" i="2" s="1"/>
  <c r="M19" i="2"/>
  <c r="O40" i="2" s="1"/>
  <c r="N18" i="2"/>
  <c r="T34" i="2" l="1"/>
  <c r="E21" i="2"/>
  <c r="F20" i="2"/>
  <c r="W8" i="2"/>
  <c r="V9" i="2"/>
  <c r="I20" i="2"/>
  <c r="K39" i="2" s="1"/>
  <c r="J19" i="2"/>
  <c r="R18" i="2"/>
  <c r="G19" i="3" s="1"/>
  <c r="AG22" i="2"/>
  <c r="AI22" i="2" s="1"/>
  <c r="AA22" i="2"/>
  <c r="AC22" i="2" s="1"/>
  <c r="M20" i="2"/>
  <c r="O41" i="2" s="1"/>
  <c r="N19" i="2"/>
  <c r="T35" i="2" l="1"/>
  <c r="E9" i="3"/>
  <c r="F9" i="3"/>
  <c r="E22" i="2"/>
  <c r="F22" i="2" s="1"/>
  <c r="F21" i="2"/>
  <c r="G38" i="2"/>
  <c r="S38" i="2" s="1"/>
  <c r="J20" i="2"/>
  <c r="I21" i="2"/>
  <c r="K40" i="2" s="1"/>
  <c r="R19" i="2"/>
  <c r="G20" i="3" s="1"/>
  <c r="M21" i="2"/>
  <c r="O42" i="2" s="1"/>
  <c r="N20" i="2"/>
  <c r="T36" i="2" l="1"/>
  <c r="G39" i="2"/>
  <c r="S39" i="2" s="1"/>
  <c r="E23" i="2"/>
  <c r="AG23" i="2"/>
  <c r="AI23" i="2" s="1"/>
  <c r="AA23" i="2"/>
  <c r="AC23" i="2" s="1"/>
  <c r="D9" i="3"/>
  <c r="X9" i="2" s="1"/>
  <c r="R20" i="2"/>
  <c r="G21" i="3" s="1"/>
  <c r="I22" i="2"/>
  <c r="J21" i="2"/>
  <c r="M22" i="2"/>
  <c r="N21" i="2"/>
  <c r="T37" i="2" l="1"/>
  <c r="G40" i="2"/>
  <c r="S40" i="2" s="1"/>
  <c r="E24" i="2"/>
  <c r="F23" i="2"/>
  <c r="AG24" i="2"/>
  <c r="AI24" i="2" s="1"/>
  <c r="AA24" i="2"/>
  <c r="AC24" i="2" s="1"/>
  <c r="I23" i="2"/>
  <c r="K41" i="2"/>
  <c r="M23" i="2"/>
  <c r="O43" i="2"/>
  <c r="U9" i="2"/>
  <c r="R21" i="2"/>
  <c r="G22" i="3" s="1"/>
  <c r="J22" i="2"/>
  <c r="N22" i="2"/>
  <c r="T38" i="2" l="1"/>
  <c r="G41" i="2"/>
  <c r="S41" i="2" s="1"/>
  <c r="E25" i="2"/>
  <c r="F24" i="2"/>
  <c r="AG25" i="2"/>
  <c r="AI25" i="2" s="1"/>
  <c r="AA25" i="2"/>
  <c r="AC25" i="2" s="1"/>
  <c r="K42" i="2"/>
  <c r="I24" i="2"/>
  <c r="J23" i="2"/>
  <c r="O44" i="2"/>
  <c r="M24" i="2"/>
  <c r="N23" i="2"/>
  <c r="V10" i="2"/>
  <c r="W9" i="2"/>
  <c r="R22" i="2"/>
  <c r="G23" i="3" s="1"/>
  <c r="R23" i="2" l="1"/>
  <c r="G24" i="3" s="1"/>
  <c r="T39" i="2"/>
  <c r="E10" i="3"/>
  <c r="F10" i="3"/>
  <c r="G42" i="2"/>
  <c r="S42" i="2" s="1"/>
  <c r="E26" i="2"/>
  <c r="F25" i="2"/>
  <c r="AG26" i="2"/>
  <c r="AI26" i="2" s="1"/>
  <c r="AA26" i="2"/>
  <c r="AC26" i="2" s="1"/>
  <c r="K43" i="2"/>
  <c r="I25" i="2"/>
  <c r="J24" i="2"/>
  <c r="O45" i="2"/>
  <c r="M25" i="2"/>
  <c r="N24" i="2"/>
  <c r="T40" i="2" l="1"/>
  <c r="G43" i="2"/>
  <c r="S43" i="2" s="1"/>
  <c r="E27" i="2"/>
  <c r="F26" i="2"/>
  <c r="AG27" i="2"/>
  <c r="AI27" i="2" s="1"/>
  <c r="AA27" i="2"/>
  <c r="AC27" i="2" s="1"/>
  <c r="K44" i="2"/>
  <c r="I26" i="2"/>
  <c r="J25" i="2"/>
  <c r="O46" i="2"/>
  <c r="M26" i="2"/>
  <c r="N25" i="2"/>
  <c r="R24" i="2"/>
  <c r="G25" i="3" s="1"/>
  <c r="D10" i="3"/>
  <c r="X10" i="2" s="1"/>
  <c r="G44" i="2" l="1"/>
  <c r="S44" i="2" s="1"/>
  <c r="E28" i="2"/>
  <c r="F27" i="2"/>
  <c r="AG28" i="2"/>
  <c r="AI28" i="2" s="1"/>
  <c r="AA28" i="2"/>
  <c r="AC28" i="2" s="1"/>
  <c r="K45" i="2"/>
  <c r="I27" i="2"/>
  <c r="J26" i="2"/>
  <c r="O47" i="2"/>
  <c r="M27" i="2"/>
  <c r="N26" i="2"/>
  <c r="T41" i="2"/>
  <c r="R25" i="2"/>
  <c r="G26" i="3" s="1"/>
  <c r="U10" i="2"/>
  <c r="G45" i="2" l="1"/>
  <c r="S45" i="2" s="1"/>
  <c r="E29" i="2"/>
  <c r="F28" i="2"/>
  <c r="AG29" i="2"/>
  <c r="AI29" i="2" s="1"/>
  <c r="AA29" i="2"/>
  <c r="AC29" i="2" s="1"/>
  <c r="K46" i="2"/>
  <c r="I28" i="2"/>
  <c r="J27" i="2"/>
  <c r="O48" i="2"/>
  <c r="M28" i="2"/>
  <c r="N27" i="2"/>
  <c r="T42" i="2"/>
  <c r="R26" i="2"/>
  <c r="G27" i="3" s="1"/>
  <c r="V11" i="2"/>
  <c r="W10" i="2"/>
  <c r="E11" i="3" l="1"/>
  <c r="F11" i="3"/>
  <c r="G46" i="2"/>
  <c r="S46" i="2" s="1"/>
  <c r="E30" i="2"/>
  <c r="F29" i="2"/>
  <c r="AG30" i="2"/>
  <c r="AI30" i="2" s="1"/>
  <c r="AA30" i="2"/>
  <c r="AC30" i="2" s="1"/>
  <c r="K47" i="2"/>
  <c r="I29" i="2"/>
  <c r="J28" i="2"/>
  <c r="O49" i="2"/>
  <c r="M29" i="2"/>
  <c r="N28" i="2"/>
  <c r="T43" i="2"/>
  <c r="R27" i="2"/>
  <c r="G28" i="3" s="1"/>
  <c r="G47" i="2" l="1"/>
  <c r="S47" i="2" s="1"/>
  <c r="E31" i="2"/>
  <c r="F30" i="2"/>
  <c r="AG31" i="2"/>
  <c r="AI31" i="2" s="1"/>
  <c r="AA31" i="2"/>
  <c r="AC31" i="2" s="1"/>
  <c r="K48" i="2"/>
  <c r="I30" i="2"/>
  <c r="J29" i="2"/>
  <c r="O50" i="2"/>
  <c r="M30" i="2"/>
  <c r="N29" i="2"/>
  <c r="T44" i="2"/>
  <c r="R28" i="2"/>
  <c r="G29" i="3" s="1"/>
  <c r="D11" i="3"/>
  <c r="X11" i="2" s="1"/>
  <c r="G48" i="2" l="1"/>
  <c r="S48" i="2" s="1"/>
  <c r="E32" i="2"/>
  <c r="F31" i="2"/>
  <c r="AG32" i="2"/>
  <c r="AI32" i="2" s="1"/>
  <c r="AA32" i="2"/>
  <c r="AC32" i="2" s="1"/>
  <c r="K49" i="2"/>
  <c r="I31" i="2"/>
  <c r="J30" i="2"/>
  <c r="O51" i="2"/>
  <c r="M31" i="2"/>
  <c r="N30" i="2"/>
  <c r="T45" i="2"/>
  <c r="R29" i="2"/>
  <c r="G30" i="3" s="1"/>
  <c r="U11" i="2"/>
  <c r="G49" i="2" l="1"/>
  <c r="S49" i="2" s="1"/>
  <c r="E33" i="2"/>
  <c r="F32" i="2"/>
  <c r="AG33" i="2"/>
  <c r="AI33" i="2" s="1"/>
  <c r="AA33" i="2"/>
  <c r="AC33" i="2" s="1"/>
  <c r="K50" i="2"/>
  <c r="I32" i="2"/>
  <c r="J31" i="2"/>
  <c r="O52" i="2"/>
  <c r="M32" i="2"/>
  <c r="N31" i="2"/>
  <c r="T46" i="2"/>
  <c r="R30" i="2"/>
  <c r="G31" i="3" s="1"/>
  <c r="W11" i="2"/>
  <c r="V12" i="2"/>
  <c r="R31" i="2" l="1"/>
  <c r="E12" i="3"/>
  <c r="F12" i="3"/>
  <c r="G50" i="2"/>
  <c r="S50" i="2" s="1"/>
  <c r="E34" i="2"/>
  <c r="F33" i="2"/>
  <c r="AG34" i="2"/>
  <c r="AI34" i="2" s="1"/>
  <c r="AA34" i="2"/>
  <c r="AC34" i="2" s="1"/>
  <c r="K51" i="2"/>
  <c r="I33" i="2"/>
  <c r="J32" i="2"/>
  <c r="O53" i="2"/>
  <c r="M33" i="2"/>
  <c r="N32" i="2"/>
  <c r="T47" i="2"/>
  <c r="G32" i="3" l="1"/>
  <c r="T48" i="2"/>
  <c r="G51" i="2"/>
  <c r="S51" i="2" s="1"/>
  <c r="E35" i="2"/>
  <c r="F34" i="2"/>
  <c r="AG35" i="2"/>
  <c r="AI35" i="2" s="1"/>
  <c r="AA35" i="2"/>
  <c r="AC35" i="2" s="1"/>
  <c r="K52" i="2"/>
  <c r="I34" i="2"/>
  <c r="J33" i="2"/>
  <c r="O54" i="2"/>
  <c r="M34" i="2"/>
  <c r="N33" i="2"/>
  <c r="R32" i="2"/>
  <c r="G33" i="3" s="1"/>
  <c r="D12" i="3"/>
  <c r="X12" i="2" s="1"/>
  <c r="G52" i="2" l="1"/>
  <c r="S52" i="2" s="1"/>
  <c r="E36" i="2"/>
  <c r="F35" i="2"/>
  <c r="AG36" i="2"/>
  <c r="AI36" i="2" s="1"/>
  <c r="AA36" i="2"/>
  <c r="AC36" i="2" s="1"/>
  <c r="K53" i="2"/>
  <c r="I35" i="2"/>
  <c r="J34" i="2"/>
  <c r="O55" i="2"/>
  <c r="M35" i="2"/>
  <c r="N34" i="2"/>
  <c r="T49" i="2"/>
  <c r="R33" i="2"/>
  <c r="G34" i="3" s="1"/>
  <c r="U12" i="2"/>
  <c r="G53" i="2" l="1"/>
  <c r="S53" i="2" s="1"/>
  <c r="E37" i="2"/>
  <c r="F36" i="2"/>
  <c r="AG37" i="2"/>
  <c r="AI37" i="2" s="1"/>
  <c r="AA37" i="2"/>
  <c r="AC37" i="2" s="1"/>
  <c r="K54" i="2"/>
  <c r="I36" i="2"/>
  <c r="J35" i="2"/>
  <c r="O56" i="2"/>
  <c r="M36" i="2"/>
  <c r="N35" i="2"/>
  <c r="T50" i="2"/>
  <c r="R34" i="2"/>
  <c r="G35" i="3" s="1"/>
  <c r="W12" i="2"/>
  <c r="V13" i="2"/>
  <c r="E13" i="3" l="1"/>
  <c r="F13" i="3"/>
  <c r="G54" i="2"/>
  <c r="S54" i="2" s="1"/>
  <c r="E38" i="2"/>
  <c r="F37" i="2"/>
  <c r="AG38" i="2"/>
  <c r="AI38" i="2" s="1"/>
  <c r="AA38" i="2"/>
  <c r="AC38" i="2" s="1"/>
  <c r="K55" i="2"/>
  <c r="I37" i="2"/>
  <c r="J36" i="2"/>
  <c r="O57" i="2"/>
  <c r="M37" i="2"/>
  <c r="N36" i="2"/>
  <c r="T51" i="2"/>
  <c r="R35" i="2"/>
  <c r="G36" i="3" s="1"/>
  <c r="G55" i="2" l="1"/>
  <c r="S55" i="2" s="1"/>
  <c r="E39" i="2"/>
  <c r="F38" i="2"/>
  <c r="AG39" i="2"/>
  <c r="AI39" i="2" s="1"/>
  <c r="AA39" i="2"/>
  <c r="AC39" i="2" s="1"/>
  <c r="K56" i="2"/>
  <c r="I38" i="2"/>
  <c r="J37" i="2"/>
  <c r="O58" i="2"/>
  <c r="M38" i="2"/>
  <c r="N37" i="2"/>
  <c r="T52" i="2"/>
  <c r="R36" i="2"/>
  <c r="G37" i="3" s="1"/>
  <c r="D13" i="3"/>
  <c r="X13" i="2" s="1"/>
  <c r="G56" i="2" l="1"/>
  <c r="S56" i="2" s="1"/>
  <c r="E40" i="2"/>
  <c r="F39" i="2"/>
  <c r="AG40" i="2"/>
  <c r="AI40" i="2" s="1"/>
  <c r="AA40" i="2"/>
  <c r="AC40" i="2" s="1"/>
  <c r="K57" i="2"/>
  <c r="I39" i="2"/>
  <c r="J38" i="2"/>
  <c r="O59" i="2"/>
  <c r="M39" i="2"/>
  <c r="N38" i="2"/>
  <c r="T53" i="2"/>
  <c r="R37" i="2"/>
  <c r="G38" i="3" s="1"/>
  <c r="U13" i="2"/>
  <c r="G57" i="2" l="1"/>
  <c r="S57" i="2" s="1"/>
  <c r="E41" i="2"/>
  <c r="F40" i="2"/>
  <c r="AG41" i="2"/>
  <c r="AI41" i="2" s="1"/>
  <c r="AA41" i="2"/>
  <c r="AC41" i="2" s="1"/>
  <c r="K58" i="2"/>
  <c r="I40" i="2"/>
  <c r="J39" i="2"/>
  <c r="O60" i="2"/>
  <c r="M40" i="2"/>
  <c r="N39" i="2"/>
  <c r="T54" i="2"/>
  <c r="R38" i="2"/>
  <c r="G39" i="3" s="1"/>
  <c r="W13" i="2"/>
  <c r="V14" i="2"/>
  <c r="R39" i="2" l="1"/>
  <c r="E14" i="3"/>
  <c r="F14" i="3"/>
  <c r="G58" i="2"/>
  <c r="S58" i="2" s="1"/>
  <c r="E42" i="2"/>
  <c r="F41" i="2"/>
  <c r="AG42" i="2"/>
  <c r="AI42" i="2" s="1"/>
  <c r="AA42" i="2"/>
  <c r="AC42" i="2" s="1"/>
  <c r="K59" i="2"/>
  <c r="I41" i="2"/>
  <c r="J40" i="2"/>
  <c r="O61" i="2"/>
  <c r="M41" i="2"/>
  <c r="N40" i="2"/>
  <c r="T55" i="2"/>
  <c r="T56" i="2" l="1"/>
  <c r="G40" i="3"/>
  <c r="G59" i="2"/>
  <c r="S59" i="2" s="1"/>
  <c r="E43" i="2"/>
  <c r="F42" i="2"/>
  <c r="AG43" i="2"/>
  <c r="AI43" i="2" s="1"/>
  <c r="AA43" i="2"/>
  <c r="AC43" i="2" s="1"/>
  <c r="K60" i="2"/>
  <c r="I42" i="2"/>
  <c r="J41" i="2"/>
  <c r="O62" i="2"/>
  <c r="M42" i="2"/>
  <c r="N41" i="2"/>
  <c r="R40" i="2"/>
  <c r="G41" i="3" s="1"/>
  <c r="D14" i="3"/>
  <c r="X14" i="2" s="1"/>
  <c r="U14" i="2" l="1"/>
  <c r="G60" i="2"/>
  <c r="S60" i="2" s="1"/>
  <c r="E44" i="2"/>
  <c r="F43" i="2"/>
  <c r="AG44" i="2"/>
  <c r="AI44" i="2" s="1"/>
  <c r="AA44" i="2"/>
  <c r="AC44" i="2" s="1"/>
  <c r="K61" i="2"/>
  <c r="I43" i="2"/>
  <c r="J42" i="2"/>
  <c r="O63" i="2"/>
  <c r="M43" i="2"/>
  <c r="N42" i="2"/>
  <c r="T57" i="2"/>
  <c r="R41" i="2"/>
  <c r="G42" i="3" s="1"/>
  <c r="W14" i="2" l="1"/>
  <c r="F15" i="3" s="1"/>
  <c r="V15" i="2"/>
  <c r="G61" i="2"/>
  <c r="S61" i="2" s="1"/>
  <c r="E45" i="2"/>
  <c r="F44" i="2"/>
  <c r="AG45" i="2"/>
  <c r="AI45" i="2" s="1"/>
  <c r="AA45" i="2"/>
  <c r="AC45" i="2" s="1"/>
  <c r="K62" i="2"/>
  <c r="I44" i="2"/>
  <c r="J43" i="2"/>
  <c r="O64" i="2"/>
  <c r="M44" i="2"/>
  <c r="N43" i="2"/>
  <c r="T58" i="2"/>
  <c r="R42" i="2"/>
  <c r="G43" i="3" s="1"/>
  <c r="E15" i="3" l="1"/>
  <c r="G62" i="2"/>
  <c r="S62" i="2" s="1"/>
  <c r="E46" i="2"/>
  <c r="F45" i="2"/>
  <c r="AG46" i="2"/>
  <c r="AI46" i="2" s="1"/>
  <c r="AA46" i="2"/>
  <c r="AC46" i="2" s="1"/>
  <c r="K63" i="2"/>
  <c r="I45" i="2"/>
  <c r="J44" i="2"/>
  <c r="O65" i="2"/>
  <c r="M45" i="2"/>
  <c r="N44" i="2"/>
  <c r="T59" i="2"/>
  <c r="R43" i="2"/>
  <c r="G44" i="3" s="1"/>
  <c r="R44" i="2" l="1"/>
  <c r="G45" i="3" s="1"/>
  <c r="T61" i="2"/>
  <c r="D15" i="3"/>
  <c r="X15" i="2" s="1"/>
  <c r="G63" i="2"/>
  <c r="S63" i="2" s="1"/>
  <c r="E47" i="2"/>
  <c r="F46" i="2"/>
  <c r="AG47" i="2"/>
  <c r="AI47" i="2" s="1"/>
  <c r="AA47" i="2"/>
  <c r="AC47" i="2" s="1"/>
  <c r="K64" i="2"/>
  <c r="I46" i="2"/>
  <c r="J45" i="2"/>
  <c r="O66" i="2"/>
  <c r="M46" i="2"/>
  <c r="N45" i="2"/>
  <c r="T60" i="2"/>
  <c r="U15" i="2" l="1"/>
  <c r="G64" i="2"/>
  <c r="S64" i="2" s="1"/>
  <c r="E48" i="2"/>
  <c r="F47" i="2"/>
  <c r="AG48" i="2"/>
  <c r="AI48" i="2" s="1"/>
  <c r="AA48" i="2"/>
  <c r="AC48" i="2" s="1"/>
  <c r="K65" i="2"/>
  <c r="I47" i="2"/>
  <c r="J46" i="2"/>
  <c r="O67" i="2"/>
  <c r="M47" i="2"/>
  <c r="N46" i="2"/>
  <c r="R45" i="2"/>
  <c r="G46" i="3" s="1"/>
  <c r="W15" i="2" l="1"/>
  <c r="V16" i="2"/>
  <c r="G65" i="2"/>
  <c r="S65" i="2" s="1"/>
  <c r="E49" i="2"/>
  <c r="F48" i="2"/>
  <c r="AG49" i="2"/>
  <c r="AI49" i="2" s="1"/>
  <c r="AA49" i="2"/>
  <c r="AC49" i="2" s="1"/>
  <c r="K66" i="2"/>
  <c r="I48" i="2"/>
  <c r="J47" i="2"/>
  <c r="O68" i="2"/>
  <c r="M48" i="2"/>
  <c r="N47" i="2"/>
  <c r="T62" i="2"/>
  <c r="R46" i="2"/>
  <c r="G47" i="3" s="1"/>
  <c r="R47" i="2" l="1"/>
  <c r="G48" i="3" s="1"/>
  <c r="F16" i="3"/>
  <c r="E16" i="3"/>
  <c r="G66" i="2"/>
  <c r="S66" i="2" s="1"/>
  <c r="E50" i="2"/>
  <c r="F49" i="2"/>
  <c r="AG50" i="2"/>
  <c r="AI50" i="2" s="1"/>
  <c r="AA50" i="2"/>
  <c r="AC50" i="2" s="1"/>
  <c r="K67" i="2"/>
  <c r="I49" i="2"/>
  <c r="J48" i="2"/>
  <c r="O69" i="2"/>
  <c r="M49" i="2"/>
  <c r="N48" i="2"/>
  <c r="T63" i="2"/>
  <c r="R48" i="2" l="1"/>
  <c r="D16" i="3"/>
  <c r="T64" i="2"/>
  <c r="G67" i="2"/>
  <c r="S67" i="2" s="1"/>
  <c r="E51" i="2"/>
  <c r="F50" i="2"/>
  <c r="AG51" i="2"/>
  <c r="AI51" i="2" s="1"/>
  <c r="AA51" i="2"/>
  <c r="AC51" i="2" s="1"/>
  <c r="K68" i="2"/>
  <c r="I50" i="2"/>
  <c r="J49" i="2"/>
  <c r="O70" i="2"/>
  <c r="M50" i="2"/>
  <c r="N49" i="2"/>
  <c r="G49" i="3" l="1"/>
  <c r="T65" i="2"/>
  <c r="X16" i="2"/>
  <c r="U16" i="2"/>
  <c r="G68" i="2"/>
  <c r="S68" i="2" s="1"/>
  <c r="E52" i="2"/>
  <c r="F51" i="2"/>
  <c r="AG52" i="2"/>
  <c r="AI52" i="2" s="1"/>
  <c r="AA52" i="2"/>
  <c r="AC52" i="2" s="1"/>
  <c r="K69" i="2"/>
  <c r="I51" i="2"/>
  <c r="J50" i="2"/>
  <c r="O71" i="2"/>
  <c r="M51" i="2"/>
  <c r="N50" i="2"/>
  <c r="R49" i="2"/>
  <c r="G50" i="3" s="1"/>
  <c r="V17" i="2" l="1"/>
  <c r="W16" i="2"/>
  <c r="G69" i="2"/>
  <c r="S69" i="2" s="1"/>
  <c r="E53" i="2"/>
  <c r="F52" i="2"/>
  <c r="AG53" i="2"/>
  <c r="AI53" i="2" s="1"/>
  <c r="AA53" i="2"/>
  <c r="AC53" i="2" s="1"/>
  <c r="K70" i="2"/>
  <c r="I52" i="2"/>
  <c r="J51" i="2"/>
  <c r="O72" i="2"/>
  <c r="M52" i="2"/>
  <c r="N51" i="2"/>
  <c r="T66" i="2"/>
  <c r="R50" i="2"/>
  <c r="G51" i="3" s="1"/>
  <c r="E17" i="3" l="1"/>
  <c r="F17" i="3"/>
  <c r="D17" i="3" s="1"/>
  <c r="X17" i="2" s="1"/>
  <c r="G70" i="2"/>
  <c r="S70" i="2" s="1"/>
  <c r="E54" i="2"/>
  <c r="F53" i="2"/>
  <c r="AG54" i="2"/>
  <c r="AI54" i="2" s="1"/>
  <c r="AA54" i="2"/>
  <c r="AC54" i="2" s="1"/>
  <c r="K71" i="2"/>
  <c r="I53" i="2"/>
  <c r="J52" i="2"/>
  <c r="O73" i="2"/>
  <c r="M53" i="2"/>
  <c r="N52" i="2"/>
  <c r="T67" i="2"/>
  <c r="R51" i="2"/>
  <c r="G52" i="3" s="1"/>
  <c r="G71" i="2" l="1"/>
  <c r="S71" i="2" s="1"/>
  <c r="E55" i="2"/>
  <c r="F54" i="2"/>
  <c r="AG55" i="2"/>
  <c r="AI55" i="2" s="1"/>
  <c r="AA55" i="2"/>
  <c r="AC55" i="2" s="1"/>
  <c r="K72" i="2"/>
  <c r="I54" i="2"/>
  <c r="J53" i="2"/>
  <c r="O74" i="2"/>
  <c r="M54" i="2"/>
  <c r="N53" i="2"/>
  <c r="T68" i="2"/>
  <c r="R52" i="2"/>
  <c r="G53" i="3" s="1"/>
  <c r="U17" i="2"/>
  <c r="G72" i="2" l="1"/>
  <c r="S72" i="2" s="1"/>
  <c r="E56" i="2"/>
  <c r="F55" i="2"/>
  <c r="AG56" i="2"/>
  <c r="AI56" i="2" s="1"/>
  <c r="AA56" i="2"/>
  <c r="AC56" i="2" s="1"/>
  <c r="K73" i="2"/>
  <c r="I55" i="2"/>
  <c r="J54" i="2"/>
  <c r="O75" i="2"/>
  <c r="M55" i="2"/>
  <c r="N54" i="2"/>
  <c r="T69" i="2"/>
  <c r="R53" i="2"/>
  <c r="G54" i="3" s="1"/>
  <c r="V18" i="2"/>
  <c r="W17" i="2"/>
  <c r="E18" i="3" l="1"/>
  <c r="F18" i="3"/>
  <c r="G73" i="2"/>
  <c r="S73" i="2" s="1"/>
  <c r="E57" i="2"/>
  <c r="F56" i="2"/>
  <c r="AG57" i="2"/>
  <c r="AI57" i="2" s="1"/>
  <c r="AA57" i="2"/>
  <c r="AC57" i="2" s="1"/>
  <c r="K74" i="2"/>
  <c r="I56" i="2"/>
  <c r="J55" i="2"/>
  <c r="O76" i="2"/>
  <c r="M56" i="2"/>
  <c r="N55" i="2"/>
  <c r="T70" i="2"/>
  <c r="R54" i="2"/>
  <c r="G55" i="3" s="1"/>
  <c r="G74" i="2" l="1"/>
  <c r="S74" i="2" s="1"/>
  <c r="E58" i="2"/>
  <c r="F57" i="2"/>
  <c r="AG58" i="2"/>
  <c r="AI58" i="2" s="1"/>
  <c r="AA58" i="2"/>
  <c r="AC58" i="2" s="1"/>
  <c r="K75" i="2"/>
  <c r="I57" i="2"/>
  <c r="J56" i="2"/>
  <c r="O77" i="2"/>
  <c r="M57" i="2"/>
  <c r="N56" i="2"/>
  <c r="T71" i="2"/>
  <c r="R55" i="2"/>
  <c r="G56" i="3" s="1"/>
  <c r="D18" i="3"/>
  <c r="X18" i="2" s="1"/>
  <c r="G75" i="2" l="1"/>
  <c r="S75" i="2" s="1"/>
  <c r="E59" i="2"/>
  <c r="F58" i="2"/>
  <c r="AG59" i="2"/>
  <c r="AI59" i="2" s="1"/>
  <c r="AA59" i="2"/>
  <c r="AC59" i="2" s="1"/>
  <c r="K76" i="2"/>
  <c r="I58" i="2"/>
  <c r="J57" i="2"/>
  <c r="O78" i="2"/>
  <c r="M58" i="2"/>
  <c r="N57" i="2"/>
  <c r="T72" i="2"/>
  <c r="R56" i="2"/>
  <c r="G57" i="3" s="1"/>
  <c r="U18" i="2"/>
  <c r="G76" i="2" l="1"/>
  <c r="S76" i="2" s="1"/>
  <c r="E60" i="2"/>
  <c r="F59" i="2"/>
  <c r="AG60" i="2"/>
  <c r="AI60" i="2" s="1"/>
  <c r="AA60" i="2"/>
  <c r="AC60" i="2" s="1"/>
  <c r="K77" i="2"/>
  <c r="I59" i="2"/>
  <c r="J58" i="2"/>
  <c r="O79" i="2"/>
  <c r="M59" i="2"/>
  <c r="N58" i="2"/>
  <c r="T73" i="2"/>
  <c r="R57" i="2"/>
  <c r="G58" i="3" s="1"/>
  <c r="W18" i="2"/>
  <c r="V19" i="2"/>
  <c r="E19" i="3" l="1"/>
  <c r="F19" i="3"/>
  <c r="G77" i="2"/>
  <c r="S77" i="2" s="1"/>
  <c r="E61" i="2"/>
  <c r="F60" i="2"/>
  <c r="AG61" i="2"/>
  <c r="AI61" i="2" s="1"/>
  <c r="AA61" i="2"/>
  <c r="AC61" i="2" s="1"/>
  <c r="K78" i="2"/>
  <c r="I60" i="2"/>
  <c r="J59" i="2"/>
  <c r="O80" i="2"/>
  <c r="M60" i="2"/>
  <c r="N59" i="2"/>
  <c r="T74" i="2"/>
  <c r="R58" i="2"/>
  <c r="G59" i="3" s="1"/>
  <c r="G78" i="2" l="1"/>
  <c r="S78" i="2" s="1"/>
  <c r="E62" i="2"/>
  <c r="F61" i="2"/>
  <c r="AG62" i="2"/>
  <c r="AI62" i="2" s="1"/>
  <c r="AA62" i="2"/>
  <c r="AC62" i="2" s="1"/>
  <c r="K79" i="2"/>
  <c r="I61" i="2"/>
  <c r="J60" i="2"/>
  <c r="O81" i="2"/>
  <c r="M61" i="2"/>
  <c r="N60" i="2"/>
  <c r="T75" i="2"/>
  <c r="R59" i="2"/>
  <c r="G60" i="3" s="1"/>
  <c r="D19" i="3"/>
  <c r="X19" i="2" s="1"/>
  <c r="G79" i="2" l="1"/>
  <c r="S79" i="2" s="1"/>
  <c r="E63" i="2"/>
  <c r="F62" i="2"/>
  <c r="AG63" i="2"/>
  <c r="AI63" i="2" s="1"/>
  <c r="AA63" i="2"/>
  <c r="AC63" i="2" s="1"/>
  <c r="K80" i="2"/>
  <c r="I62" i="2"/>
  <c r="J61" i="2"/>
  <c r="O82" i="2"/>
  <c r="M62" i="2"/>
  <c r="N61" i="2"/>
  <c r="T76" i="2"/>
  <c r="R60" i="2"/>
  <c r="G61" i="3" s="1"/>
  <c r="U19" i="2"/>
  <c r="G80" i="2" l="1"/>
  <c r="S80" i="2" s="1"/>
  <c r="E64" i="2"/>
  <c r="F63" i="2"/>
  <c r="AG64" i="2"/>
  <c r="AI64" i="2" s="1"/>
  <c r="AA64" i="2"/>
  <c r="AC64" i="2" s="1"/>
  <c r="K81" i="2"/>
  <c r="I63" i="2"/>
  <c r="J62" i="2"/>
  <c r="O83" i="2"/>
  <c r="M63" i="2"/>
  <c r="N62" i="2"/>
  <c r="T77" i="2"/>
  <c r="R61" i="2"/>
  <c r="G62" i="3" s="1"/>
  <c r="W19" i="2"/>
  <c r="V20" i="2"/>
  <c r="E20" i="3" l="1"/>
  <c r="F20" i="3"/>
  <c r="G81" i="2"/>
  <c r="S81" i="2" s="1"/>
  <c r="E65" i="2"/>
  <c r="F64" i="2"/>
  <c r="AG65" i="2"/>
  <c r="AI65" i="2" s="1"/>
  <c r="AA65" i="2"/>
  <c r="AC65" i="2" s="1"/>
  <c r="K82" i="2"/>
  <c r="I64" i="2"/>
  <c r="J63" i="2"/>
  <c r="O84" i="2"/>
  <c r="M64" i="2"/>
  <c r="N63" i="2"/>
  <c r="T78" i="2"/>
  <c r="R62" i="2"/>
  <c r="G63" i="3" s="1"/>
  <c r="G82" i="2" l="1"/>
  <c r="S82" i="2" s="1"/>
  <c r="E66" i="2"/>
  <c r="F65" i="2"/>
  <c r="AG66" i="2"/>
  <c r="AI66" i="2" s="1"/>
  <c r="AA66" i="2"/>
  <c r="AC66" i="2" s="1"/>
  <c r="K83" i="2"/>
  <c r="I65" i="2"/>
  <c r="J64" i="2"/>
  <c r="O85" i="2"/>
  <c r="M65" i="2"/>
  <c r="N64" i="2"/>
  <c r="T79" i="2"/>
  <c r="R63" i="2"/>
  <c r="G64" i="3" s="1"/>
  <c r="D20" i="3"/>
  <c r="X20" i="2" s="1"/>
  <c r="G83" i="2" l="1"/>
  <c r="S83" i="2" s="1"/>
  <c r="E67" i="2"/>
  <c r="F66" i="2"/>
  <c r="AG67" i="2"/>
  <c r="AI67" i="2" s="1"/>
  <c r="AA67" i="2"/>
  <c r="AC67" i="2" s="1"/>
  <c r="K84" i="2"/>
  <c r="I66" i="2"/>
  <c r="J65" i="2"/>
  <c r="O86" i="2"/>
  <c r="M66" i="2"/>
  <c r="N65" i="2"/>
  <c r="T80" i="2"/>
  <c r="R64" i="2"/>
  <c r="G65" i="3" s="1"/>
  <c r="U20" i="2"/>
  <c r="R65" i="2" l="1"/>
  <c r="G66" i="3" s="1"/>
  <c r="G84" i="2"/>
  <c r="S84" i="2" s="1"/>
  <c r="E68" i="2"/>
  <c r="F67" i="2"/>
  <c r="AG68" i="2"/>
  <c r="AI68" i="2" s="1"/>
  <c r="AA68" i="2"/>
  <c r="AC68" i="2" s="1"/>
  <c r="K85" i="2"/>
  <c r="I67" i="2"/>
  <c r="J66" i="2"/>
  <c r="O87" i="2"/>
  <c r="M67" i="2"/>
  <c r="N66" i="2"/>
  <c r="T81" i="2"/>
  <c r="V21" i="2"/>
  <c r="W20" i="2"/>
  <c r="T82" i="2" l="1"/>
  <c r="R66" i="2"/>
  <c r="G67" i="3" s="1"/>
  <c r="E21" i="3"/>
  <c r="F21" i="3"/>
  <c r="G85" i="2"/>
  <c r="S85" i="2" s="1"/>
  <c r="E69" i="2"/>
  <c r="F68" i="2"/>
  <c r="AG69" i="2"/>
  <c r="AI69" i="2" s="1"/>
  <c r="AA69" i="2"/>
  <c r="AC69" i="2" s="1"/>
  <c r="K86" i="2"/>
  <c r="I68" i="2"/>
  <c r="J67" i="2"/>
  <c r="O88" i="2"/>
  <c r="M68" i="2"/>
  <c r="N67" i="2"/>
  <c r="T83" i="2" l="1"/>
  <c r="G86" i="2"/>
  <c r="S86" i="2" s="1"/>
  <c r="E70" i="2"/>
  <c r="F69" i="2"/>
  <c r="AG70" i="2"/>
  <c r="AI70" i="2" s="1"/>
  <c r="AA70" i="2"/>
  <c r="AC70" i="2" s="1"/>
  <c r="K87" i="2"/>
  <c r="I69" i="2"/>
  <c r="J68" i="2"/>
  <c r="O89" i="2"/>
  <c r="M69" i="2"/>
  <c r="N68" i="2"/>
  <c r="R67" i="2"/>
  <c r="G68" i="3" s="1"/>
  <c r="D21" i="3"/>
  <c r="X21" i="2" s="1"/>
  <c r="G87" i="2" l="1"/>
  <c r="S87" i="2" s="1"/>
  <c r="E71" i="2"/>
  <c r="F70" i="2"/>
  <c r="AG71" i="2"/>
  <c r="AI71" i="2" s="1"/>
  <c r="AA71" i="2"/>
  <c r="AC71" i="2" s="1"/>
  <c r="K88" i="2"/>
  <c r="I70" i="2"/>
  <c r="J69" i="2"/>
  <c r="O90" i="2"/>
  <c r="M70" i="2"/>
  <c r="N69" i="2"/>
  <c r="T84" i="2"/>
  <c r="R68" i="2"/>
  <c r="G69" i="3" s="1"/>
  <c r="U21" i="2"/>
  <c r="G88" i="2" l="1"/>
  <c r="S88" i="2" s="1"/>
  <c r="E72" i="2"/>
  <c r="F71" i="2"/>
  <c r="AG72" i="2"/>
  <c r="AI72" i="2" s="1"/>
  <c r="AA72" i="2"/>
  <c r="AC72" i="2" s="1"/>
  <c r="K89" i="2"/>
  <c r="I71" i="2"/>
  <c r="J70" i="2"/>
  <c r="O91" i="2"/>
  <c r="M71" i="2"/>
  <c r="N70" i="2"/>
  <c r="T85" i="2"/>
  <c r="R69" i="2"/>
  <c r="G70" i="3" s="1"/>
  <c r="W21" i="2"/>
  <c r="V22" i="2"/>
  <c r="E22" i="3" l="1"/>
  <c r="F22" i="3"/>
  <c r="G89" i="2"/>
  <c r="S89" i="2" s="1"/>
  <c r="E73" i="2"/>
  <c r="F72" i="2"/>
  <c r="AG73" i="2"/>
  <c r="AI73" i="2" s="1"/>
  <c r="AA73" i="2"/>
  <c r="AC73" i="2" s="1"/>
  <c r="K90" i="2"/>
  <c r="I72" i="2"/>
  <c r="J71" i="2"/>
  <c r="O92" i="2"/>
  <c r="M72" i="2"/>
  <c r="N71" i="2"/>
  <c r="T86" i="2"/>
  <c r="R70" i="2"/>
  <c r="G71" i="3" s="1"/>
  <c r="G90" i="2" l="1"/>
  <c r="S90" i="2" s="1"/>
  <c r="E74" i="2"/>
  <c r="F73" i="2"/>
  <c r="AG74" i="2"/>
  <c r="AI74" i="2" s="1"/>
  <c r="AA74" i="2"/>
  <c r="AC74" i="2" s="1"/>
  <c r="K91" i="2"/>
  <c r="I73" i="2"/>
  <c r="J72" i="2"/>
  <c r="O93" i="2"/>
  <c r="M73" i="2"/>
  <c r="N72" i="2"/>
  <c r="T87" i="2"/>
  <c r="R71" i="2"/>
  <c r="G72" i="3" s="1"/>
  <c r="D22" i="3"/>
  <c r="X22" i="2" s="1"/>
  <c r="R72" i="2" l="1"/>
  <c r="G73" i="3" s="1"/>
  <c r="G91" i="2"/>
  <c r="S91" i="2" s="1"/>
  <c r="E75" i="2"/>
  <c r="F74" i="2"/>
  <c r="AG75" i="2"/>
  <c r="AI75" i="2" s="1"/>
  <c r="AA75" i="2"/>
  <c r="AC75" i="2" s="1"/>
  <c r="K92" i="2"/>
  <c r="I74" i="2"/>
  <c r="J73" i="2"/>
  <c r="O94" i="2"/>
  <c r="M74" i="2"/>
  <c r="N73" i="2"/>
  <c r="T88" i="2"/>
  <c r="U22" i="2"/>
  <c r="T89" i="2" l="1"/>
  <c r="G92" i="2"/>
  <c r="S92" i="2" s="1"/>
  <c r="E76" i="2"/>
  <c r="F75" i="2"/>
  <c r="AG76" i="2"/>
  <c r="AI76" i="2" s="1"/>
  <c r="AA76" i="2"/>
  <c r="AC76" i="2" s="1"/>
  <c r="K93" i="2"/>
  <c r="I75" i="2"/>
  <c r="J74" i="2"/>
  <c r="O95" i="2"/>
  <c r="M75" i="2"/>
  <c r="N74" i="2"/>
  <c r="R73" i="2"/>
  <c r="G74" i="3" s="1"/>
  <c r="V23" i="2"/>
  <c r="W22" i="2"/>
  <c r="R74" i="2" l="1"/>
  <c r="G75" i="3" s="1"/>
  <c r="E23" i="3"/>
  <c r="F23" i="3"/>
  <c r="G93" i="2"/>
  <c r="S93" i="2" s="1"/>
  <c r="E77" i="2"/>
  <c r="F76" i="2"/>
  <c r="AG77" i="2"/>
  <c r="AI77" i="2" s="1"/>
  <c r="AA77" i="2"/>
  <c r="AC77" i="2" s="1"/>
  <c r="K94" i="2"/>
  <c r="I76" i="2"/>
  <c r="J75" i="2"/>
  <c r="O96" i="2"/>
  <c r="M76" i="2"/>
  <c r="N75" i="2"/>
  <c r="T90" i="2"/>
  <c r="T91" i="2" l="1"/>
  <c r="G94" i="2"/>
  <c r="S94" i="2" s="1"/>
  <c r="E78" i="2"/>
  <c r="F77" i="2"/>
  <c r="AG78" i="2"/>
  <c r="AI78" i="2" s="1"/>
  <c r="AA78" i="2"/>
  <c r="AC78" i="2" s="1"/>
  <c r="K95" i="2"/>
  <c r="I77" i="2"/>
  <c r="J76" i="2"/>
  <c r="O97" i="2"/>
  <c r="M77" i="2"/>
  <c r="N76" i="2"/>
  <c r="R75" i="2"/>
  <c r="G76" i="3" s="1"/>
  <c r="D23" i="3"/>
  <c r="X23" i="2" s="1"/>
  <c r="G95" i="2" l="1"/>
  <c r="S95" i="2" s="1"/>
  <c r="E79" i="2"/>
  <c r="F78" i="2"/>
  <c r="AG79" i="2"/>
  <c r="AI79" i="2" s="1"/>
  <c r="AA79" i="2"/>
  <c r="AC79" i="2" s="1"/>
  <c r="K96" i="2"/>
  <c r="I78" i="2"/>
  <c r="J77" i="2"/>
  <c r="O98" i="2"/>
  <c r="M78" i="2"/>
  <c r="N77" i="2"/>
  <c r="T92" i="2"/>
  <c r="R76" i="2"/>
  <c r="G77" i="3" s="1"/>
  <c r="U23" i="2"/>
  <c r="G96" i="2" l="1"/>
  <c r="S96" i="2" s="1"/>
  <c r="E80" i="2"/>
  <c r="F79" i="2"/>
  <c r="AG80" i="2"/>
  <c r="AI80" i="2" s="1"/>
  <c r="AA80" i="2"/>
  <c r="AC80" i="2" s="1"/>
  <c r="K97" i="2"/>
  <c r="I79" i="2"/>
  <c r="J78" i="2"/>
  <c r="O99" i="2"/>
  <c r="M79" i="2"/>
  <c r="N78" i="2"/>
  <c r="T93" i="2"/>
  <c r="W23" i="2"/>
  <c r="V24" i="2"/>
  <c r="R77" i="2"/>
  <c r="G78" i="3" s="1"/>
  <c r="R78" i="2" l="1"/>
  <c r="E24" i="3"/>
  <c r="F24" i="3"/>
  <c r="G97" i="2"/>
  <c r="S97" i="2" s="1"/>
  <c r="E81" i="2"/>
  <c r="F80" i="2"/>
  <c r="AG81" i="2"/>
  <c r="AI81" i="2" s="1"/>
  <c r="AA81" i="2"/>
  <c r="AC81" i="2" s="1"/>
  <c r="K98" i="2"/>
  <c r="I80" i="2"/>
  <c r="J79" i="2"/>
  <c r="O100" i="2"/>
  <c r="M80" i="2"/>
  <c r="N79" i="2"/>
  <c r="T94" i="2"/>
  <c r="T95" i="2" l="1"/>
  <c r="G79" i="3"/>
  <c r="G98" i="2"/>
  <c r="S98" i="2" s="1"/>
  <c r="E82" i="2"/>
  <c r="F81" i="2"/>
  <c r="AG82" i="2"/>
  <c r="AI82" i="2" s="1"/>
  <c r="AA82" i="2"/>
  <c r="AC82" i="2" s="1"/>
  <c r="K99" i="2"/>
  <c r="I81" i="2"/>
  <c r="J80" i="2"/>
  <c r="O101" i="2"/>
  <c r="M81" i="2"/>
  <c r="N80" i="2"/>
  <c r="R79" i="2"/>
  <c r="G80" i="3" s="1"/>
  <c r="D24" i="3"/>
  <c r="X24" i="2" s="1"/>
  <c r="G99" i="2" l="1"/>
  <c r="S99" i="2" s="1"/>
  <c r="E83" i="2"/>
  <c r="F82" i="2"/>
  <c r="AG83" i="2"/>
  <c r="AI83" i="2" s="1"/>
  <c r="AA83" i="2"/>
  <c r="AC83" i="2" s="1"/>
  <c r="K100" i="2"/>
  <c r="I82" i="2"/>
  <c r="J81" i="2"/>
  <c r="O102" i="2"/>
  <c r="M82" i="2"/>
  <c r="N81" i="2"/>
  <c r="T96" i="2"/>
  <c r="R80" i="2"/>
  <c r="G81" i="3" s="1"/>
  <c r="U24" i="2"/>
  <c r="G100" i="2" l="1"/>
  <c r="S100" i="2" s="1"/>
  <c r="E84" i="2"/>
  <c r="F83" i="2"/>
  <c r="AG84" i="2"/>
  <c r="AI84" i="2" s="1"/>
  <c r="AA84" i="2"/>
  <c r="AC84" i="2" s="1"/>
  <c r="K101" i="2"/>
  <c r="I83" i="2"/>
  <c r="J82" i="2"/>
  <c r="O103" i="2"/>
  <c r="M83" i="2"/>
  <c r="N82" i="2"/>
  <c r="T97" i="2"/>
  <c r="W24" i="2"/>
  <c r="V25" i="2"/>
  <c r="R81" i="2"/>
  <c r="G82" i="3" s="1"/>
  <c r="E25" i="3" l="1"/>
  <c r="F25" i="3"/>
  <c r="G101" i="2"/>
  <c r="S101" i="2" s="1"/>
  <c r="E85" i="2"/>
  <c r="F84" i="2"/>
  <c r="AG85" i="2"/>
  <c r="AI85" i="2" s="1"/>
  <c r="AA85" i="2"/>
  <c r="AC85" i="2" s="1"/>
  <c r="K102" i="2"/>
  <c r="I84" i="2"/>
  <c r="J83" i="2"/>
  <c r="O104" i="2"/>
  <c r="M84" i="2"/>
  <c r="N83" i="2"/>
  <c r="T98" i="2"/>
  <c r="R82" i="2"/>
  <c r="G83" i="3" s="1"/>
  <c r="R83" i="2" l="1"/>
  <c r="G102" i="2"/>
  <c r="S102" i="2" s="1"/>
  <c r="E86" i="2"/>
  <c r="F85" i="2"/>
  <c r="AG86" i="2"/>
  <c r="AI86" i="2" s="1"/>
  <c r="AA86" i="2"/>
  <c r="AC86" i="2" s="1"/>
  <c r="K103" i="2"/>
  <c r="I85" i="2"/>
  <c r="J84" i="2"/>
  <c r="O105" i="2"/>
  <c r="M85" i="2"/>
  <c r="N84" i="2"/>
  <c r="T99" i="2"/>
  <c r="D25" i="3"/>
  <c r="X25" i="2" s="1"/>
  <c r="G84" i="3" l="1"/>
  <c r="T100" i="2"/>
  <c r="G103" i="2"/>
  <c r="S103" i="2" s="1"/>
  <c r="E87" i="2"/>
  <c r="F86" i="2"/>
  <c r="AG87" i="2"/>
  <c r="AI87" i="2" s="1"/>
  <c r="AA87" i="2"/>
  <c r="AC87" i="2" s="1"/>
  <c r="K104" i="2"/>
  <c r="I86" i="2"/>
  <c r="J85" i="2"/>
  <c r="O106" i="2"/>
  <c r="M86" i="2"/>
  <c r="N85" i="2"/>
  <c r="R84" i="2"/>
  <c r="G85" i="3" s="1"/>
  <c r="U25" i="2"/>
  <c r="R85" i="2" l="1"/>
  <c r="G104" i="2"/>
  <c r="S104" i="2" s="1"/>
  <c r="E88" i="2"/>
  <c r="F87" i="2"/>
  <c r="AG88" i="2"/>
  <c r="AI88" i="2" s="1"/>
  <c r="AA88" i="2"/>
  <c r="AC88" i="2" s="1"/>
  <c r="K105" i="2"/>
  <c r="I87" i="2"/>
  <c r="J86" i="2"/>
  <c r="O107" i="2"/>
  <c r="M87" i="2"/>
  <c r="N86" i="2"/>
  <c r="T101" i="2"/>
  <c r="W25" i="2"/>
  <c r="V26" i="2"/>
  <c r="G86" i="3" l="1"/>
  <c r="T102" i="2"/>
  <c r="E26" i="3"/>
  <c r="F26" i="3"/>
  <c r="D26" i="3" s="1"/>
  <c r="X26" i="2" s="1"/>
  <c r="G105" i="2"/>
  <c r="S105" i="2" s="1"/>
  <c r="E89" i="2"/>
  <c r="F88" i="2"/>
  <c r="AG89" i="2"/>
  <c r="AI89" i="2" s="1"/>
  <c r="AA89" i="2"/>
  <c r="AC89" i="2" s="1"/>
  <c r="K106" i="2"/>
  <c r="I88" i="2"/>
  <c r="J87" i="2"/>
  <c r="O108" i="2"/>
  <c r="M88" i="2"/>
  <c r="N87" i="2"/>
  <c r="R86" i="2"/>
  <c r="G87" i="3" s="1"/>
  <c r="G106" i="2" l="1"/>
  <c r="S106" i="2" s="1"/>
  <c r="E90" i="2"/>
  <c r="F89" i="2"/>
  <c r="AG90" i="2"/>
  <c r="AI90" i="2" s="1"/>
  <c r="AA90" i="2"/>
  <c r="AC90" i="2" s="1"/>
  <c r="K107" i="2"/>
  <c r="I89" i="2"/>
  <c r="J88" i="2"/>
  <c r="O109" i="2"/>
  <c r="M89" i="2"/>
  <c r="N88" i="2"/>
  <c r="T103" i="2"/>
  <c r="R87" i="2"/>
  <c r="G88" i="3" s="1"/>
  <c r="U26" i="2"/>
  <c r="G107" i="2" l="1"/>
  <c r="S107" i="2" s="1"/>
  <c r="E91" i="2"/>
  <c r="F90" i="2"/>
  <c r="AG91" i="2"/>
  <c r="AI91" i="2" s="1"/>
  <c r="AA91" i="2"/>
  <c r="AC91" i="2" s="1"/>
  <c r="K108" i="2"/>
  <c r="I90" i="2"/>
  <c r="J89" i="2"/>
  <c r="O110" i="2"/>
  <c r="M90" i="2"/>
  <c r="N89" i="2"/>
  <c r="T104" i="2"/>
  <c r="W26" i="2"/>
  <c r="V27" i="2"/>
  <c r="R88" i="2"/>
  <c r="G89" i="3" s="1"/>
  <c r="E27" i="3" l="1"/>
  <c r="F27" i="3"/>
  <c r="G108" i="2"/>
  <c r="S108" i="2" s="1"/>
  <c r="E92" i="2"/>
  <c r="F91" i="2"/>
  <c r="AG92" i="2"/>
  <c r="AI92" i="2" s="1"/>
  <c r="AA92" i="2"/>
  <c r="AC92" i="2" s="1"/>
  <c r="K109" i="2"/>
  <c r="I91" i="2"/>
  <c r="J90" i="2"/>
  <c r="O111" i="2"/>
  <c r="M91" i="2"/>
  <c r="N90" i="2"/>
  <c r="T105" i="2"/>
  <c r="R89" i="2"/>
  <c r="G90" i="3" s="1"/>
  <c r="G109" i="2" l="1"/>
  <c r="S109" i="2" s="1"/>
  <c r="E93" i="2"/>
  <c r="F92" i="2"/>
  <c r="AG93" i="2"/>
  <c r="AI93" i="2" s="1"/>
  <c r="AA93" i="2"/>
  <c r="AC93" i="2" s="1"/>
  <c r="K110" i="2"/>
  <c r="I92" i="2"/>
  <c r="J91" i="2"/>
  <c r="O112" i="2"/>
  <c r="M92" i="2"/>
  <c r="N91" i="2"/>
  <c r="T106" i="2"/>
  <c r="R90" i="2"/>
  <c r="G91" i="3" s="1"/>
  <c r="D27" i="3"/>
  <c r="X27" i="2" s="1"/>
  <c r="R91" i="2" l="1"/>
  <c r="G92" i="3" s="1"/>
  <c r="G110" i="2"/>
  <c r="S110" i="2" s="1"/>
  <c r="E94" i="2"/>
  <c r="F93" i="2"/>
  <c r="AG94" i="2"/>
  <c r="AI94" i="2" s="1"/>
  <c r="AA94" i="2"/>
  <c r="AC94" i="2" s="1"/>
  <c r="K111" i="2"/>
  <c r="I93" i="2"/>
  <c r="J92" i="2"/>
  <c r="O113" i="2"/>
  <c r="M93" i="2"/>
  <c r="N92" i="2"/>
  <c r="T107" i="2"/>
  <c r="U27" i="2"/>
  <c r="T108" i="2" l="1"/>
  <c r="G111" i="2"/>
  <c r="S111" i="2" s="1"/>
  <c r="E95" i="2"/>
  <c r="F94" i="2"/>
  <c r="AG95" i="2"/>
  <c r="AI95" i="2" s="1"/>
  <c r="AA95" i="2"/>
  <c r="AC95" i="2" s="1"/>
  <c r="K112" i="2"/>
  <c r="I94" i="2"/>
  <c r="J93" i="2"/>
  <c r="O114" i="2"/>
  <c r="M94" i="2"/>
  <c r="N93" i="2"/>
  <c r="W27" i="2"/>
  <c r="V28" i="2"/>
  <c r="R92" i="2"/>
  <c r="G93" i="3" s="1"/>
  <c r="E28" i="3" l="1"/>
  <c r="F28" i="3"/>
  <c r="G112" i="2"/>
  <c r="S112" i="2" s="1"/>
  <c r="E96" i="2"/>
  <c r="F95" i="2"/>
  <c r="AG96" i="2"/>
  <c r="AI96" i="2" s="1"/>
  <c r="AA96" i="2"/>
  <c r="AC96" i="2" s="1"/>
  <c r="K113" i="2"/>
  <c r="I95" i="2"/>
  <c r="J94" i="2"/>
  <c r="O115" i="2"/>
  <c r="M95" i="2"/>
  <c r="N94" i="2"/>
  <c r="T109" i="2"/>
  <c r="R93" i="2"/>
  <c r="G94" i="3" s="1"/>
  <c r="G113" i="2" l="1"/>
  <c r="S113" i="2" s="1"/>
  <c r="E97" i="2"/>
  <c r="F96" i="2"/>
  <c r="AG97" i="2"/>
  <c r="AI97" i="2" s="1"/>
  <c r="AA97" i="2"/>
  <c r="AC97" i="2" s="1"/>
  <c r="K114" i="2"/>
  <c r="I96" i="2"/>
  <c r="J95" i="2"/>
  <c r="O116" i="2"/>
  <c r="M96" i="2"/>
  <c r="N95" i="2"/>
  <c r="T110" i="2"/>
  <c r="R94" i="2"/>
  <c r="G95" i="3" s="1"/>
  <c r="D28" i="3"/>
  <c r="X28" i="2" s="1"/>
  <c r="G114" i="2" l="1"/>
  <c r="S114" i="2" s="1"/>
  <c r="E98" i="2"/>
  <c r="F97" i="2"/>
  <c r="AG98" i="2"/>
  <c r="AI98" i="2" s="1"/>
  <c r="AA98" i="2"/>
  <c r="AC98" i="2" s="1"/>
  <c r="K115" i="2"/>
  <c r="I97" i="2"/>
  <c r="J96" i="2"/>
  <c r="O117" i="2"/>
  <c r="M97" i="2"/>
  <c r="N96" i="2"/>
  <c r="T111" i="2"/>
  <c r="R95" i="2"/>
  <c r="G96" i="3" s="1"/>
  <c r="U28" i="2"/>
  <c r="G115" i="2" l="1"/>
  <c r="S115" i="2" s="1"/>
  <c r="E99" i="2"/>
  <c r="F98" i="2"/>
  <c r="AG99" i="2"/>
  <c r="AI99" i="2" s="1"/>
  <c r="AA99" i="2"/>
  <c r="AC99" i="2" s="1"/>
  <c r="K116" i="2"/>
  <c r="I98" i="2"/>
  <c r="J97" i="2"/>
  <c r="O118" i="2"/>
  <c r="M98" i="2"/>
  <c r="N97" i="2"/>
  <c r="T112" i="2"/>
  <c r="W28" i="2"/>
  <c r="V29" i="2"/>
  <c r="R96" i="2"/>
  <c r="G97" i="3" s="1"/>
  <c r="E29" i="3" l="1"/>
  <c r="F29" i="3"/>
  <c r="G116" i="2"/>
  <c r="S116" i="2" s="1"/>
  <c r="E100" i="2"/>
  <c r="F99" i="2"/>
  <c r="AG100" i="2"/>
  <c r="AI100" i="2" s="1"/>
  <c r="AA100" i="2"/>
  <c r="AC100" i="2" s="1"/>
  <c r="K117" i="2"/>
  <c r="I99" i="2"/>
  <c r="J98" i="2"/>
  <c r="O119" i="2"/>
  <c r="M99" i="2"/>
  <c r="N98" i="2"/>
  <c r="T113" i="2"/>
  <c r="R97" i="2"/>
  <c r="G98" i="3" s="1"/>
  <c r="G117" i="2" l="1"/>
  <c r="S117" i="2" s="1"/>
  <c r="E101" i="2"/>
  <c r="F100" i="2"/>
  <c r="AG101" i="2"/>
  <c r="AI101" i="2" s="1"/>
  <c r="AA101" i="2"/>
  <c r="AC101" i="2" s="1"/>
  <c r="K118" i="2"/>
  <c r="I100" i="2"/>
  <c r="J99" i="2"/>
  <c r="O120" i="2"/>
  <c r="M100" i="2"/>
  <c r="N99" i="2"/>
  <c r="T114" i="2"/>
  <c r="R98" i="2"/>
  <c r="G99" i="3" s="1"/>
  <c r="D29" i="3"/>
  <c r="X29" i="2" s="1"/>
  <c r="G118" i="2" l="1"/>
  <c r="S118" i="2" s="1"/>
  <c r="E102" i="2"/>
  <c r="F101" i="2"/>
  <c r="AG102" i="2"/>
  <c r="AI102" i="2" s="1"/>
  <c r="AA102" i="2"/>
  <c r="AC102" i="2" s="1"/>
  <c r="K119" i="2"/>
  <c r="I101" i="2"/>
  <c r="J100" i="2"/>
  <c r="O121" i="2"/>
  <c r="M101" i="2"/>
  <c r="N100" i="2"/>
  <c r="T115" i="2"/>
  <c r="R99" i="2"/>
  <c r="G100" i="3" s="1"/>
  <c r="U29" i="2"/>
  <c r="R100" i="2" l="1"/>
  <c r="G101" i="3" s="1"/>
  <c r="G119" i="2"/>
  <c r="S119" i="2" s="1"/>
  <c r="E103" i="2"/>
  <c r="F102" i="2"/>
  <c r="AG103" i="2"/>
  <c r="AI103" i="2" s="1"/>
  <c r="AA103" i="2"/>
  <c r="AC103" i="2" s="1"/>
  <c r="K120" i="2"/>
  <c r="I102" i="2"/>
  <c r="J101" i="2"/>
  <c r="O122" i="2"/>
  <c r="M102" i="2"/>
  <c r="N101" i="2"/>
  <c r="T116" i="2"/>
  <c r="W29" i="2"/>
  <c r="V30" i="2"/>
  <c r="T117" i="2" l="1"/>
  <c r="R101" i="2"/>
  <c r="G102" i="3" s="1"/>
  <c r="E30" i="3"/>
  <c r="F30" i="3"/>
  <c r="G120" i="2"/>
  <c r="S120" i="2" s="1"/>
  <c r="E104" i="2"/>
  <c r="F103" i="2"/>
  <c r="AG104" i="2"/>
  <c r="AI104" i="2" s="1"/>
  <c r="AA104" i="2"/>
  <c r="AC104" i="2" s="1"/>
  <c r="K121" i="2"/>
  <c r="I103" i="2"/>
  <c r="J102" i="2"/>
  <c r="O123" i="2"/>
  <c r="M103" i="2"/>
  <c r="N102" i="2"/>
  <c r="T118" i="2" l="1"/>
  <c r="G121" i="2"/>
  <c r="S121" i="2" s="1"/>
  <c r="E105" i="2"/>
  <c r="F104" i="2"/>
  <c r="AG105" i="2"/>
  <c r="AI105" i="2" s="1"/>
  <c r="AA105" i="2"/>
  <c r="AC105" i="2" s="1"/>
  <c r="K122" i="2"/>
  <c r="I104" i="2"/>
  <c r="J103" i="2"/>
  <c r="O124" i="2"/>
  <c r="M104" i="2"/>
  <c r="N103" i="2"/>
  <c r="R102" i="2"/>
  <c r="G103" i="3" s="1"/>
  <c r="D30" i="3"/>
  <c r="X30" i="2" s="1"/>
  <c r="G122" i="2" l="1"/>
  <c r="S122" i="2" s="1"/>
  <c r="E106" i="2"/>
  <c r="F105" i="2"/>
  <c r="AG106" i="2"/>
  <c r="AI106" i="2" s="1"/>
  <c r="AA106" i="2"/>
  <c r="AC106" i="2" s="1"/>
  <c r="K123" i="2"/>
  <c r="I105" i="2"/>
  <c r="J104" i="2"/>
  <c r="O125" i="2"/>
  <c r="M105" i="2"/>
  <c r="N104" i="2"/>
  <c r="T119" i="2"/>
  <c r="R103" i="2"/>
  <c r="G104" i="3" s="1"/>
  <c r="U30" i="2"/>
  <c r="G123" i="2" l="1"/>
  <c r="S123" i="2" s="1"/>
  <c r="E107" i="2"/>
  <c r="F106" i="2"/>
  <c r="AG107" i="2"/>
  <c r="AI107" i="2" s="1"/>
  <c r="AA107" i="2"/>
  <c r="AC107" i="2" s="1"/>
  <c r="K124" i="2"/>
  <c r="I106" i="2"/>
  <c r="J105" i="2"/>
  <c r="O126" i="2"/>
  <c r="M106" i="2"/>
  <c r="N105" i="2"/>
  <c r="T120" i="2"/>
  <c r="W30" i="2"/>
  <c r="V31" i="2"/>
  <c r="R104" i="2"/>
  <c r="G105" i="3" s="1"/>
  <c r="E31" i="3" l="1"/>
  <c r="F31" i="3"/>
  <c r="G124" i="2"/>
  <c r="S124" i="2" s="1"/>
  <c r="E108" i="2"/>
  <c r="F107" i="2"/>
  <c r="AG108" i="2"/>
  <c r="AI108" i="2" s="1"/>
  <c r="AA108" i="2"/>
  <c r="AC108" i="2" s="1"/>
  <c r="K125" i="2"/>
  <c r="I107" i="2"/>
  <c r="J106" i="2"/>
  <c r="O127" i="2"/>
  <c r="M107" i="2"/>
  <c r="Q107" i="2" s="1"/>
  <c r="N106" i="2"/>
  <c r="T121" i="2"/>
  <c r="R105" i="2"/>
  <c r="G106" i="3" s="1"/>
  <c r="G125" i="2" l="1"/>
  <c r="S125" i="2" s="1"/>
  <c r="E109" i="2"/>
  <c r="F108" i="2"/>
  <c r="AG109" i="2"/>
  <c r="AI109" i="2" s="1"/>
  <c r="AA109" i="2"/>
  <c r="AC109" i="2" s="1"/>
  <c r="K126" i="2"/>
  <c r="I108" i="2"/>
  <c r="J107" i="2"/>
  <c r="O128" i="2"/>
  <c r="M108" i="2"/>
  <c r="N107" i="2"/>
  <c r="T122" i="2"/>
  <c r="R106" i="2"/>
  <c r="G107" i="3" s="1"/>
  <c r="D31" i="3"/>
  <c r="X31" i="2" s="1"/>
  <c r="Q108" i="2" l="1"/>
  <c r="G126" i="2"/>
  <c r="S126" i="2" s="1"/>
  <c r="E110" i="2"/>
  <c r="F109" i="2"/>
  <c r="AG110" i="2"/>
  <c r="AI110" i="2" s="1"/>
  <c r="AA110" i="2"/>
  <c r="AC110" i="2" s="1"/>
  <c r="K127" i="2"/>
  <c r="I109" i="2"/>
  <c r="J108" i="2"/>
  <c r="O129" i="2"/>
  <c r="M109" i="2"/>
  <c r="N108" i="2"/>
  <c r="T123" i="2"/>
  <c r="R107" i="2"/>
  <c r="G108" i="3" s="1"/>
  <c r="U31" i="2"/>
  <c r="R108" i="2" l="1"/>
  <c r="G109" i="3" s="1"/>
  <c r="Q109" i="2"/>
  <c r="G127" i="2"/>
  <c r="S127" i="2" s="1"/>
  <c r="E111" i="2"/>
  <c r="F110" i="2"/>
  <c r="AG111" i="2"/>
  <c r="AI111" i="2" s="1"/>
  <c r="AA111" i="2"/>
  <c r="AC111" i="2" s="1"/>
  <c r="K128" i="2"/>
  <c r="I110" i="2"/>
  <c r="J109" i="2"/>
  <c r="O130" i="2"/>
  <c r="M110" i="2"/>
  <c r="N109" i="2"/>
  <c r="T124" i="2"/>
  <c r="W31" i="2"/>
  <c r="V32" i="2"/>
  <c r="Q110" i="2" l="1"/>
  <c r="T125" i="2"/>
  <c r="E32" i="3"/>
  <c r="F32" i="3"/>
  <c r="G128" i="2"/>
  <c r="S128" i="2" s="1"/>
  <c r="E112" i="2"/>
  <c r="F111" i="2"/>
  <c r="AG112" i="2"/>
  <c r="AI112" i="2" s="1"/>
  <c r="AA112" i="2"/>
  <c r="AC112" i="2" s="1"/>
  <c r="K129" i="2"/>
  <c r="I111" i="2"/>
  <c r="J110" i="2"/>
  <c r="O131" i="2"/>
  <c r="M111" i="2"/>
  <c r="N110" i="2"/>
  <c r="R109" i="2"/>
  <c r="G110" i="3" s="1"/>
  <c r="R110" i="2" l="1"/>
  <c r="G111" i="3" s="1"/>
  <c r="Q111" i="2"/>
  <c r="G129" i="2"/>
  <c r="S129" i="2" s="1"/>
  <c r="E113" i="2"/>
  <c r="F112" i="2"/>
  <c r="AG113" i="2"/>
  <c r="AI113" i="2" s="1"/>
  <c r="AA113" i="2"/>
  <c r="AC113" i="2" s="1"/>
  <c r="K130" i="2"/>
  <c r="I112" i="2"/>
  <c r="J111" i="2"/>
  <c r="O132" i="2"/>
  <c r="M112" i="2"/>
  <c r="N111" i="2"/>
  <c r="T126" i="2"/>
  <c r="D32" i="3"/>
  <c r="X32" i="2" s="1"/>
  <c r="Q112" i="2" l="1"/>
  <c r="T127" i="2"/>
  <c r="G130" i="2"/>
  <c r="S130" i="2" s="1"/>
  <c r="E114" i="2"/>
  <c r="F113" i="2"/>
  <c r="AG114" i="2"/>
  <c r="AI114" i="2" s="1"/>
  <c r="AA114" i="2"/>
  <c r="AC114" i="2" s="1"/>
  <c r="K131" i="2"/>
  <c r="I113" i="2"/>
  <c r="J112" i="2"/>
  <c r="O133" i="2"/>
  <c r="M113" i="2"/>
  <c r="N112" i="2"/>
  <c r="R111" i="2"/>
  <c r="G112" i="3" s="1"/>
  <c r="U32" i="2"/>
  <c r="Q113" i="2" l="1"/>
  <c r="G131" i="2"/>
  <c r="S131" i="2" s="1"/>
  <c r="E115" i="2"/>
  <c r="F114" i="2"/>
  <c r="AG115" i="2"/>
  <c r="AI115" i="2" s="1"/>
  <c r="AA115" i="2"/>
  <c r="AC115" i="2" s="1"/>
  <c r="K132" i="2"/>
  <c r="I114" i="2"/>
  <c r="J113" i="2"/>
  <c r="O134" i="2"/>
  <c r="M114" i="2"/>
  <c r="N113" i="2"/>
  <c r="T128" i="2"/>
  <c r="W32" i="2"/>
  <c r="V33" i="2"/>
  <c r="R112" i="2"/>
  <c r="G113" i="3" s="1"/>
  <c r="Q114" i="2" l="1"/>
  <c r="E33" i="3"/>
  <c r="F33" i="3"/>
  <c r="G132" i="2"/>
  <c r="S132" i="2" s="1"/>
  <c r="E116" i="2"/>
  <c r="F115" i="2"/>
  <c r="AG116" i="2"/>
  <c r="AI116" i="2" s="1"/>
  <c r="AA116" i="2"/>
  <c r="AC116" i="2" s="1"/>
  <c r="K133" i="2"/>
  <c r="I115" i="2"/>
  <c r="J114" i="2"/>
  <c r="O135" i="2"/>
  <c r="M115" i="2"/>
  <c r="N114" i="2"/>
  <c r="T129" i="2"/>
  <c r="R113" i="2"/>
  <c r="G114" i="3" s="1"/>
  <c r="Q115" i="2" l="1"/>
  <c r="G133" i="2"/>
  <c r="S133" i="2" s="1"/>
  <c r="E117" i="2"/>
  <c r="F116" i="2"/>
  <c r="AG117" i="2"/>
  <c r="AI117" i="2" s="1"/>
  <c r="AA117" i="2"/>
  <c r="AC117" i="2" s="1"/>
  <c r="K134" i="2"/>
  <c r="I116" i="2"/>
  <c r="J115" i="2"/>
  <c r="O136" i="2"/>
  <c r="M116" i="2"/>
  <c r="N115" i="2"/>
  <c r="T130" i="2"/>
  <c r="R114" i="2"/>
  <c r="G115" i="3" s="1"/>
  <c r="D33" i="3"/>
  <c r="X33" i="2" s="1"/>
  <c r="Q116" i="2" l="1"/>
  <c r="R115" i="2"/>
  <c r="G134" i="2"/>
  <c r="S134" i="2" s="1"/>
  <c r="E118" i="2"/>
  <c r="F117" i="2"/>
  <c r="AG118" i="2"/>
  <c r="AI118" i="2" s="1"/>
  <c r="AA118" i="2"/>
  <c r="AC118" i="2" s="1"/>
  <c r="K135" i="2"/>
  <c r="I117" i="2"/>
  <c r="J116" i="2"/>
  <c r="O137" i="2"/>
  <c r="M117" i="2"/>
  <c r="N116" i="2"/>
  <c r="T131" i="2"/>
  <c r="U33" i="2"/>
  <c r="G116" i="3" l="1"/>
  <c r="T132" i="2"/>
  <c r="Q117" i="2"/>
  <c r="G135" i="2"/>
  <c r="S135" i="2" s="1"/>
  <c r="E119" i="2"/>
  <c r="F118" i="2"/>
  <c r="AG119" i="2"/>
  <c r="AI119" i="2" s="1"/>
  <c r="AA119" i="2"/>
  <c r="AC119" i="2" s="1"/>
  <c r="K136" i="2"/>
  <c r="I118" i="2"/>
  <c r="J117" i="2"/>
  <c r="O138" i="2"/>
  <c r="M118" i="2"/>
  <c r="N117" i="2"/>
  <c r="W33" i="2"/>
  <c r="V34" i="2"/>
  <c r="R116" i="2"/>
  <c r="G117" i="3" s="1"/>
  <c r="Q118" i="2" l="1"/>
  <c r="R117" i="2"/>
  <c r="E34" i="3"/>
  <c r="F34" i="3"/>
  <c r="G136" i="2"/>
  <c r="S136" i="2" s="1"/>
  <c r="E120" i="2"/>
  <c r="F119" i="2"/>
  <c r="AG120" i="2"/>
  <c r="AI120" i="2" s="1"/>
  <c r="AA120" i="2"/>
  <c r="AC120" i="2" s="1"/>
  <c r="K137" i="2"/>
  <c r="I119" i="2"/>
  <c r="J118" i="2"/>
  <c r="O139" i="2"/>
  <c r="M119" i="2"/>
  <c r="N118" i="2"/>
  <c r="T133" i="2"/>
  <c r="G118" i="3" l="1"/>
  <c r="T134" i="2"/>
  <c r="Q119" i="2"/>
  <c r="G137" i="2"/>
  <c r="S137" i="2" s="1"/>
  <c r="E121" i="2"/>
  <c r="F120" i="2"/>
  <c r="AG121" i="2"/>
  <c r="AI121" i="2" s="1"/>
  <c r="AA121" i="2"/>
  <c r="AC121" i="2" s="1"/>
  <c r="K138" i="2"/>
  <c r="I120" i="2"/>
  <c r="J119" i="2"/>
  <c r="O140" i="2"/>
  <c r="M120" i="2"/>
  <c r="N119" i="2"/>
  <c r="R118" i="2"/>
  <c r="G119" i="3" s="1"/>
  <c r="D34" i="3"/>
  <c r="X34" i="2" s="1"/>
  <c r="Q120" i="2" l="1"/>
  <c r="R119" i="2"/>
  <c r="G138" i="2"/>
  <c r="S138" i="2" s="1"/>
  <c r="E122" i="2"/>
  <c r="F121" i="2"/>
  <c r="AG122" i="2"/>
  <c r="AI122" i="2" s="1"/>
  <c r="AA122" i="2"/>
  <c r="AC122" i="2" s="1"/>
  <c r="K139" i="2"/>
  <c r="I121" i="2"/>
  <c r="J120" i="2"/>
  <c r="O141" i="2"/>
  <c r="M121" i="2"/>
  <c r="N120" i="2"/>
  <c r="T135" i="2"/>
  <c r="U34" i="2"/>
  <c r="Q121" i="2" l="1"/>
  <c r="G120" i="3"/>
  <c r="T136" i="2"/>
  <c r="G139" i="2"/>
  <c r="S139" i="2" s="1"/>
  <c r="E123" i="2"/>
  <c r="F122" i="2"/>
  <c r="AG123" i="2"/>
  <c r="AI123" i="2" s="1"/>
  <c r="AA123" i="2"/>
  <c r="AC123" i="2" s="1"/>
  <c r="K140" i="2"/>
  <c r="I122" i="2"/>
  <c r="J121" i="2"/>
  <c r="O142" i="2"/>
  <c r="M122" i="2"/>
  <c r="N121" i="2"/>
  <c r="W34" i="2"/>
  <c r="V35" i="2"/>
  <c r="R120" i="2"/>
  <c r="G121" i="3" s="1"/>
  <c r="Q122" i="2" l="1"/>
  <c r="E35" i="3"/>
  <c r="F35" i="3"/>
  <c r="G140" i="2"/>
  <c r="S140" i="2" s="1"/>
  <c r="E124" i="2"/>
  <c r="F123" i="2"/>
  <c r="AG124" i="2"/>
  <c r="AI124" i="2" s="1"/>
  <c r="AA124" i="2"/>
  <c r="AC124" i="2" s="1"/>
  <c r="K141" i="2"/>
  <c r="I123" i="2"/>
  <c r="J122" i="2"/>
  <c r="O143" i="2"/>
  <c r="M123" i="2"/>
  <c r="N122" i="2"/>
  <c r="T137" i="2"/>
  <c r="R121" i="2"/>
  <c r="G122" i="3" s="1"/>
  <c r="Q123" i="2" l="1"/>
  <c r="G141" i="2"/>
  <c r="S141" i="2" s="1"/>
  <c r="E125" i="2"/>
  <c r="F124" i="2"/>
  <c r="AG125" i="2"/>
  <c r="AI125" i="2" s="1"/>
  <c r="AA125" i="2"/>
  <c r="AC125" i="2" s="1"/>
  <c r="K142" i="2"/>
  <c r="I124" i="2"/>
  <c r="J123" i="2"/>
  <c r="O144" i="2"/>
  <c r="M124" i="2"/>
  <c r="N123" i="2"/>
  <c r="T138" i="2"/>
  <c r="R122" i="2"/>
  <c r="G123" i="3" s="1"/>
  <c r="D35" i="3"/>
  <c r="X35" i="2" s="1"/>
  <c r="Q124" i="2" l="1"/>
  <c r="R123" i="2"/>
  <c r="G124" i="3" s="1"/>
  <c r="G142" i="2"/>
  <c r="S142" i="2" s="1"/>
  <c r="E126" i="2"/>
  <c r="F125" i="2"/>
  <c r="AG126" i="2"/>
  <c r="AI126" i="2" s="1"/>
  <c r="AA126" i="2"/>
  <c r="AC126" i="2" s="1"/>
  <c r="K143" i="2"/>
  <c r="I125" i="2"/>
  <c r="J124" i="2"/>
  <c r="O145" i="2"/>
  <c r="M125" i="2"/>
  <c r="N124" i="2"/>
  <c r="T139" i="2"/>
  <c r="U35" i="2"/>
  <c r="Q125" i="2" l="1"/>
  <c r="T140" i="2"/>
  <c r="G143" i="2"/>
  <c r="S143" i="2" s="1"/>
  <c r="E127" i="2"/>
  <c r="F126" i="2"/>
  <c r="AG127" i="2"/>
  <c r="AI127" i="2" s="1"/>
  <c r="AA127" i="2"/>
  <c r="AC127" i="2" s="1"/>
  <c r="K144" i="2"/>
  <c r="I126" i="2"/>
  <c r="J125" i="2"/>
  <c r="O146" i="2"/>
  <c r="M126" i="2"/>
  <c r="N125" i="2"/>
  <c r="W35" i="2"/>
  <c r="V36" i="2"/>
  <c r="R124" i="2"/>
  <c r="G125" i="3" s="1"/>
  <c r="Q126" i="2" l="1"/>
  <c r="E36" i="3"/>
  <c r="F36" i="3"/>
  <c r="G144" i="2"/>
  <c r="S144" i="2" s="1"/>
  <c r="E128" i="2"/>
  <c r="F127" i="2"/>
  <c r="AG128" i="2"/>
  <c r="AI128" i="2" s="1"/>
  <c r="AA128" i="2"/>
  <c r="AC128" i="2" s="1"/>
  <c r="K145" i="2"/>
  <c r="I127" i="2"/>
  <c r="J126" i="2"/>
  <c r="O147" i="2"/>
  <c r="M127" i="2"/>
  <c r="N126" i="2"/>
  <c r="T141" i="2"/>
  <c r="R125" i="2"/>
  <c r="G126" i="3" s="1"/>
  <c r="Q127" i="2" l="1"/>
  <c r="G145" i="2"/>
  <c r="S145" i="2" s="1"/>
  <c r="E129" i="2"/>
  <c r="F128" i="2"/>
  <c r="AG129" i="2"/>
  <c r="AI129" i="2" s="1"/>
  <c r="AA129" i="2"/>
  <c r="AC129" i="2" s="1"/>
  <c r="K146" i="2"/>
  <c r="I128" i="2"/>
  <c r="J127" i="2"/>
  <c r="O148" i="2"/>
  <c r="M128" i="2"/>
  <c r="N127" i="2"/>
  <c r="T142" i="2"/>
  <c r="R126" i="2"/>
  <c r="G127" i="3" s="1"/>
  <c r="D36" i="3"/>
  <c r="X36" i="2" s="1"/>
  <c r="Q128" i="2" l="1"/>
  <c r="R127" i="2"/>
  <c r="G128" i="3" s="1"/>
  <c r="G146" i="2"/>
  <c r="S146" i="2" s="1"/>
  <c r="E130" i="2"/>
  <c r="F129" i="2"/>
  <c r="AG130" i="2"/>
  <c r="AI130" i="2" s="1"/>
  <c r="AA130" i="2"/>
  <c r="AC130" i="2" s="1"/>
  <c r="K147" i="2"/>
  <c r="I129" i="2"/>
  <c r="J128" i="2"/>
  <c r="O149" i="2"/>
  <c r="M129" i="2"/>
  <c r="N128" i="2"/>
  <c r="T143" i="2"/>
  <c r="U36" i="2"/>
  <c r="R128" i="2" l="1"/>
  <c r="T144" i="2"/>
  <c r="Q129" i="2"/>
  <c r="G147" i="2"/>
  <c r="S147" i="2" s="1"/>
  <c r="E131" i="2"/>
  <c r="F130" i="2"/>
  <c r="AG131" i="2"/>
  <c r="AI131" i="2" s="1"/>
  <c r="AA131" i="2"/>
  <c r="AC131" i="2" s="1"/>
  <c r="K148" i="2"/>
  <c r="I130" i="2"/>
  <c r="J129" i="2"/>
  <c r="O150" i="2"/>
  <c r="M130" i="2"/>
  <c r="N129" i="2"/>
  <c r="W36" i="2"/>
  <c r="V37" i="2"/>
  <c r="R129" i="2" l="1"/>
  <c r="G129" i="3"/>
  <c r="T145" i="2"/>
  <c r="Q130" i="2"/>
  <c r="E37" i="3"/>
  <c r="F37" i="3"/>
  <c r="G148" i="2"/>
  <c r="S148" i="2" s="1"/>
  <c r="E132" i="2"/>
  <c r="F131" i="2"/>
  <c r="AG132" i="2"/>
  <c r="AI132" i="2" s="1"/>
  <c r="AA132" i="2"/>
  <c r="AC132" i="2" s="1"/>
  <c r="K149" i="2"/>
  <c r="I131" i="2"/>
  <c r="J130" i="2"/>
  <c r="O151" i="2"/>
  <c r="M131" i="2"/>
  <c r="N130" i="2"/>
  <c r="G130" i="3" l="1"/>
  <c r="T146" i="2"/>
  <c r="Q131" i="2"/>
  <c r="G149" i="2"/>
  <c r="S149" i="2" s="1"/>
  <c r="E133" i="2"/>
  <c r="F132" i="2"/>
  <c r="AG133" i="2"/>
  <c r="AI133" i="2" s="1"/>
  <c r="AA133" i="2"/>
  <c r="AC133" i="2" s="1"/>
  <c r="K150" i="2"/>
  <c r="I132" i="2"/>
  <c r="J131" i="2"/>
  <c r="O152" i="2"/>
  <c r="M132" i="2"/>
  <c r="N131" i="2"/>
  <c r="R130" i="2"/>
  <c r="G131" i="3" s="1"/>
  <c r="D37" i="3"/>
  <c r="Q132" i="2" l="1"/>
  <c r="G150" i="2"/>
  <c r="S150" i="2" s="1"/>
  <c r="E134" i="2"/>
  <c r="F133" i="2"/>
  <c r="AG134" i="2"/>
  <c r="AI134" i="2" s="1"/>
  <c r="AA134" i="2"/>
  <c r="AC134" i="2" s="1"/>
  <c r="K151" i="2"/>
  <c r="I133" i="2"/>
  <c r="J132" i="2"/>
  <c r="O153" i="2"/>
  <c r="M133" i="2"/>
  <c r="N132" i="2"/>
  <c r="T147" i="2"/>
  <c r="R131" i="2"/>
  <c r="G132" i="3" s="1"/>
  <c r="X37" i="2"/>
  <c r="U37" i="2"/>
  <c r="Q133" i="2" l="1"/>
  <c r="G151" i="2"/>
  <c r="S151" i="2" s="1"/>
  <c r="E135" i="2"/>
  <c r="F134" i="2"/>
  <c r="AG135" i="2"/>
  <c r="AI135" i="2" s="1"/>
  <c r="AA135" i="2"/>
  <c r="AC135" i="2" s="1"/>
  <c r="K152" i="2"/>
  <c r="I134" i="2"/>
  <c r="J133" i="2"/>
  <c r="O154" i="2"/>
  <c r="M134" i="2"/>
  <c r="N133" i="2"/>
  <c r="T148" i="2"/>
  <c r="W37" i="2"/>
  <c r="V38" i="2"/>
  <c r="R132" i="2"/>
  <c r="G133" i="3" s="1"/>
  <c r="Q134" i="2" l="1"/>
  <c r="E38" i="3"/>
  <c r="F38" i="3"/>
  <c r="G152" i="2"/>
  <c r="S152" i="2" s="1"/>
  <c r="E136" i="2"/>
  <c r="F135" i="2"/>
  <c r="AG136" i="2"/>
  <c r="AI136" i="2" s="1"/>
  <c r="AA136" i="2"/>
  <c r="AC136" i="2" s="1"/>
  <c r="K153" i="2"/>
  <c r="I135" i="2"/>
  <c r="J134" i="2"/>
  <c r="O155" i="2"/>
  <c r="M135" i="2"/>
  <c r="N134" i="2"/>
  <c r="T149" i="2"/>
  <c r="R133" i="2"/>
  <c r="G134" i="3" s="1"/>
  <c r="Q135" i="2" l="1"/>
  <c r="G153" i="2"/>
  <c r="S153" i="2" s="1"/>
  <c r="E137" i="2"/>
  <c r="F136" i="2"/>
  <c r="AG137" i="2"/>
  <c r="AI137" i="2" s="1"/>
  <c r="AA137" i="2"/>
  <c r="AC137" i="2" s="1"/>
  <c r="K154" i="2"/>
  <c r="I136" i="2"/>
  <c r="J135" i="2"/>
  <c r="O156" i="2"/>
  <c r="M136" i="2"/>
  <c r="N135" i="2"/>
  <c r="T150" i="2"/>
  <c r="R134" i="2"/>
  <c r="G135" i="3" s="1"/>
  <c r="D38" i="3"/>
  <c r="Q136" i="2" l="1"/>
  <c r="G154" i="2"/>
  <c r="S154" i="2" s="1"/>
  <c r="E138" i="2"/>
  <c r="F137" i="2"/>
  <c r="AG138" i="2"/>
  <c r="AI138" i="2" s="1"/>
  <c r="AA138" i="2"/>
  <c r="AC138" i="2" s="1"/>
  <c r="K155" i="2"/>
  <c r="I137" i="2"/>
  <c r="J136" i="2"/>
  <c r="O157" i="2"/>
  <c r="M137" i="2"/>
  <c r="N136" i="2"/>
  <c r="T151" i="2"/>
  <c r="R135" i="2"/>
  <c r="G136" i="3" s="1"/>
  <c r="X38" i="2"/>
  <c r="U38" i="2"/>
  <c r="Q137" i="2" l="1"/>
  <c r="R136" i="2"/>
  <c r="G137" i="3" s="1"/>
  <c r="G155" i="2"/>
  <c r="S155" i="2" s="1"/>
  <c r="E139" i="2"/>
  <c r="F138" i="2"/>
  <c r="AG139" i="2"/>
  <c r="AI139" i="2" s="1"/>
  <c r="AA139" i="2"/>
  <c r="AC139" i="2" s="1"/>
  <c r="K156" i="2"/>
  <c r="I138" i="2"/>
  <c r="J137" i="2"/>
  <c r="O158" i="2"/>
  <c r="M138" i="2"/>
  <c r="N137" i="2"/>
  <c r="T152" i="2"/>
  <c r="W38" i="2"/>
  <c r="V39" i="2"/>
  <c r="Q138" i="2" l="1"/>
  <c r="T153" i="2"/>
  <c r="E39" i="3"/>
  <c r="F39" i="3"/>
  <c r="G156" i="2"/>
  <c r="S156" i="2" s="1"/>
  <c r="E140" i="2"/>
  <c r="F139" i="2"/>
  <c r="AG140" i="2"/>
  <c r="AI140" i="2" s="1"/>
  <c r="AA140" i="2"/>
  <c r="AC140" i="2" s="1"/>
  <c r="K157" i="2"/>
  <c r="I139" i="2"/>
  <c r="J138" i="2"/>
  <c r="O159" i="2"/>
  <c r="M139" i="2"/>
  <c r="N138" i="2"/>
  <c r="R137" i="2"/>
  <c r="G138" i="3" s="1"/>
  <c r="Q139" i="2" l="1"/>
  <c r="R138" i="2"/>
  <c r="G139" i="3" s="1"/>
  <c r="G157" i="2"/>
  <c r="S157" i="2" s="1"/>
  <c r="E141" i="2"/>
  <c r="F140" i="2"/>
  <c r="AG141" i="2"/>
  <c r="AI141" i="2" s="1"/>
  <c r="AA141" i="2"/>
  <c r="AC141" i="2" s="1"/>
  <c r="K158" i="2"/>
  <c r="I140" i="2"/>
  <c r="J139" i="2"/>
  <c r="O160" i="2"/>
  <c r="M140" i="2"/>
  <c r="N139" i="2"/>
  <c r="T154" i="2"/>
  <c r="D39" i="3"/>
  <c r="Q140" i="2" l="1"/>
  <c r="T155" i="2"/>
  <c r="G158" i="2"/>
  <c r="S158" i="2" s="1"/>
  <c r="E142" i="2"/>
  <c r="F141" i="2"/>
  <c r="AG142" i="2"/>
  <c r="AI142" i="2" s="1"/>
  <c r="AA142" i="2"/>
  <c r="AC142" i="2" s="1"/>
  <c r="K159" i="2"/>
  <c r="I141" i="2"/>
  <c r="J140" i="2"/>
  <c r="O161" i="2"/>
  <c r="M141" i="2"/>
  <c r="N140" i="2"/>
  <c r="R139" i="2"/>
  <c r="G140" i="3" s="1"/>
  <c r="X39" i="2"/>
  <c r="U39" i="2"/>
  <c r="Q141" i="2" l="1"/>
  <c r="G159" i="2"/>
  <c r="S159" i="2" s="1"/>
  <c r="E143" i="2"/>
  <c r="F142" i="2"/>
  <c r="AG143" i="2"/>
  <c r="AI143" i="2" s="1"/>
  <c r="AA143" i="2"/>
  <c r="AC143" i="2" s="1"/>
  <c r="K160" i="2"/>
  <c r="I142" i="2"/>
  <c r="J141" i="2"/>
  <c r="O162" i="2"/>
  <c r="M142" i="2"/>
  <c r="N141" i="2"/>
  <c r="T156" i="2"/>
  <c r="W39" i="2"/>
  <c r="V40" i="2"/>
  <c r="R140" i="2"/>
  <c r="G141" i="3" s="1"/>
  <c r="Q142" i="2" l="1"/>
  <c r="E40" i="3"/>
  <c r="F40" i="3"/>
  <c r="G160" i="2"/>
  <c r="S160" i="2" s="1"/>
  <c r="E144" i="2"/>
  <c r="F143" i="2"/>
  <c r="AG144" i="2"/>
  <c r="AI144" i="2" s="1"/>
  <c r="AA144" i="2"/>
  <c r="AC144" i="2" s="1"/>
  <c r="K161" i="2"/>
  <c r="I143" i="2"/>
  <c r="J142" i="2"/>
  <c r="O163" i="2"/>
  <c r="M143" i="2"/>
  <c r="N142" i="2"/>
  <c r="T157" i="2"/>
  <c r="R141" i="2"/>
  <c r="G142" i="3" s="1"/>
  <c r="Q143" i="2" l="1"/>
  <c r="D40" i="3"/>
  <c r="G161" i="2"/>
  <c r="S161" i="2" s="1"/>
  <c r="E145" i="2"/>
  <c r="F144" i="2"/>
  <c r="AG145" i="2"/>
  <c r="AI145" i="2" s="1"/>
  <c r="AA145" i="2"/>
  <c r="AC145" i="2" s="1"/>
  <c r="K162" i="2"/>
  <c r="I144" i="2"/>
  <c r="J143" i="2"/>
  <c r="O164" i="2"/>
  <c r="M144" i="2"/>
  <c r="N143" i="2"/>
  <c r="T158" i="2"/>
  <c r="R142" i="2"/>
  <c r="G143" i="3" s="1"/>
  <c r="Q144" i="2" l="1"/>
  <c r="X40" i="2"/>
  <c r="U40" i="2"/>
  <c r="G162" i="2"/>
  <c r="S162" i="2" s="1"/>
  <c r="E146" i="2"/>
  <c r="F145" i="2"/>
  <c r="AG146" i="2"/>
  <c r="AI146" i="2" s="1"/>
  <c r="AA146" i="2"/>
  <c r="AC146" i="2" s="1"/>
  <c r="K163" i="2"/>
  <c r="I145" i="2"/>
  <c r="J144" i="2"/>
  <c r="O165" i="2"/>
  <c r="M145" i="2"/>
  <c r="N144" i="2"/>
  <c r="T159" i="2"/>
  <c r="R143" i="2"/>
  <c r="G144" i="3" s="1"/>
  <c r="Q145" i="2" l="1"/>
  <c r="W40" i="2"/>
  <c r="V41" i="2"/>
  <c r="G163" i="2"/>
  <c r="S163" i="2" s="1"/>
  <c r="E147" i="2"/>
  <c r="F146" i="2"/>
  <c r="AG147" i="2"/>
  <c r="AI147" i="2" s="1"/>
  <c r="AA147" i="2"/>
  <c r="AC147" i="2" s="1"/>
  <c r="K164" i="2"/>
  <c r="I146" i="2"/>
  <c r="J145" i="2"/>
  <c r="O166" i="2"/>
  <c r="M146" i="2"/>
  <c r="N145" i="2"/>
  <c r="T160" i="2"/>
  <c r="R144" i="2"/>
  <c r="G145" i="3" s="1"/>
  <c r="Q146" i="2" l="1"/>
  <c r="E41" i="3"/>
  <c r="F41" i="3"/>
  <c r="G164" i="2"/>
  <c r="S164" i="2" s="1"/>
  <c r="E148" i="2"/>
  <c r="F147" i="2"/>
  <c r="AG148" i="2"/>
  <c r="AI148" i="2" s="1"/>
  <c r="AA148" i="2"/>
  <c r="AC148" i="2" s="1"/>
  <c r="K165" i="2"/>
  <c r="I147" i="2"/>
  <c r="J146" i="2"/>
  <c r="O167" i="2"/>
  <c r="M147" i="2"/>
  <c r="N146" i="2"/>
  <c r="T161" i="2"/>
  <c r="R145" i="2"/>
  <c r="G146" i="3" s="1"/>
  <c r="D41" i="3" l="1"/>
  <c r="Q147" i="2"/>
  <c r="G165" i="2"/>
  <c r="S165" i="2" s="1"/>
  <c r="E149" i="2"/>
  <c r="F148" i="2"/>
  <c r="AG149" i="2"/>
  <c r="AI149" i="2" s="1"/>
  <c r="AA149" i="2"/>
  <c r="AC149" i="2" s="1"/>
  <c r="K166" i="2"/>
  <c r="I148" i="2"/>
  <c r="J147" i="2"/>
  <c r="O168" i="2"/>
  <c r="M148" i="2"/>
  <c r="N147" i="2"/>
  <c r="T162" i="2"/>
  <c r="R146" i="2"/>
  <c r="G147" i="3" s="1"/>
  <c r="Q148" i="2" l="1"/>
  <c r="U41" i="2"/>
  <c r="X41" i="2"/>
  <c r="G166" i="2"/>
  <c r="S166" i="2" s="1"/>
  <c r="E150" i="2"/>
  <c r="F149" i="2"/>
  <c r="AG150" i="2"/>
  <c r="AI150" i="2" s="1"/>
  <c r="AA150" i="2"/>
  <c r="AC150" i="2" s="1"/>
  <c r="K167" i="2"/>
  <c r="I149" i="2"/>
  <c r="J148" i="2"/>
  <c r="O169" i="2"/>
  <c r="M149" i="2"/>
  <c r="N148" i="2"/>
  <c r="T163" i="2"/>
  <c r="R147" i="2"/>
  <c r="G148" i="3" s="1"/>
  <c r="W41" i="2" l="1"/>
  <c r="F42" i="3" s="1"/>
  <c r="V42" i="2"/>
  <c r="Q149" i="2"/>
  <c r="G167" i="2"/>
  <c r="S167" i="2" s="1"/>
  <c r="E151" i="2"/>
  <c r="F150" i="2"/>
  <c r="AG151" i="2"/>
  <c r="AI151" i="2" s="1"/>
  <c r="AA151" i="2"/>
  <c r="AC151" i="2" s="1"/>
  <c r="K168" i="2"/>
  <c r="I150" i="2"/>
  <c r="J149" i="2"/>
  <c r="O170" i="2"/>
  <c r="M150" i="2"/>
  <c r="N149" i="2"/>
  <c r="T164" i="2"/>
  <c r="R148" i="2"/>
  <c r="G149" i="3" s="1"/>
  <c r="Q150" i="2" l="1"/>
  <c r="E42" i="3"/>
  <c r="R149" i="2"/>
  <c r="G150" i="3" s="1"/>
  <c r="G168" i="2"/>
  <c r="S168" i="2" s="1"/>
  <c r="E152" i="2"/>
  <c r="F151" i="2"/>
  <c r="AG152" i="2"/>
  <c r="AI152" i="2" s="1"/>
  <c r="AA152" i="2"/>
  <c r="AC152" i="2" s="1"/>
  <c r="K169" i="2"/>
  <c r="I151" i="2"/>
  <c r="J150" i="2"/>
  <c r="O171" i="2"/>
  <c r="M151" i="2"/>
  <c r="N150" i="2"/>
  <c r="T165" i="2"/>
  <c r="Q151" i="2" l="1"/>
  <c r="D42" i="3"/>
  <c r="T166" i="2"/>
  <c r="G169" i="2"/>
  <c r="S169" i="2" s="1"/>
  <c r="E153" i="2"/>
  <c r="F152" i="2"/>
  <c r="AG153" i="2"/>
  <c r="AI153" i="2" s="1"/>
  <c r="AA153" i="2"/>
  <c r="AC153" i="2" s="1"/>
  <c r="K170" i="2"/>
  <c r="I152" i="2"/>
  <c r="J151" i="2"/>
  <c r="O172" i="2"/>
  <c r="M152" i="2"/>
  <c r="N151" i="2"/>
  <c r="R150" i="2"/>
  <c r="G151" i="3" s="1"/>
  <c r="Q152" i="2" l="1"/>
  <c r="U42" i="2"/>
  <c r="X42" i="2"/>
  <c r="G170" i="2"/>
  <c r="S170" i="2" s="1"/>
  <c r="E154" i="2"/>
  <c r="F153" i="2"/>
  <c r="AG154" i="2"/>
  <c r="AI154" i="2" s="1"/>
  <c r="AA154" i="2"/>
  <c r="AC154" i="2" s="1"/>
  <c r="K171" i="2"/>
  <c r="I153" i="2"/>
  <c r="J152" i="2"/>
  <c r="O173" i="2"/>
  <c r="M153" i="2"/>
  <c r="N152" i="2"/>
  <c r="T167" i="2"/>
  <c r="R151" i="2"/>
  <c r="G152" i="3" s="1"/>
  <c r="W42" i="2" l="1"/>
  <c r="V43" i="2"/>
  <c r="R152" i="2"/>
  <c r="Q153" i="2"/>
  <c r="G171" i="2"/>
  <c r="S171" i="2" s="1"/>
  <c r="E155" i="2"/>
  <c r="F154" i="2"/>
  <c r="AG155" i="2"/>
  <c r="AI155" i="2" s="1"/>
  <c r="AA155" i="2"/>
  <c r="AC155" i="2" s="1"/>
  <c r="K172" i="2"/>
  <c r="I154" i="2"/>
  <c r="J153" i="2"/>
  <c r="O174" i="2"/>
  <c r="M154" i="2"/>
  <c r="N153" i="2"/>
  <c r="T168" i="2"/>
  <c r="E43" i="3" l="1"/>
  <c r="F43" i="3"/>
  <c r="G153" i="3"/>
  <c r="T169" i="2"/>
  <c r="Q154" i="2"/>
  <c r="R153" i="2"/>
  <c r="G172" i="2"/>
  <c r="S172" i="2" s="1"/>
  <c r="E156" i="2"/>
  <c r="F155" i="2"/>
  <c r="AG156" i="2"/>
  <c r="AI156" i="2" s="1"/>
  <c r="AA156" i="2"/>
  <c r="AC156" i="2" s="1"/>
  <c r="K173" i="2"/>
  <c r="I155" i="2"/>
  <c r="J154" i="2"/>
  <c r="O175" i="2"/>
  <c r="M155" i="2"/>
  <c r="N154" i="2"/>
  <c r="D43" i="3" l="1"/>
  <c r="U43" i="2" s="1"/>
  <c r="X43" i="2"/>
  <c r="Q155" i="2"/>
  <c r="G154" i="3"/>
  <c r="T170" i="2"/>
  <c r="G173" i="2"/>
  <c r="S173" i="2" s="1"/>
  <c r="E157" i="2"/>
  <c r="F156" i="2"/>
  <c r="AG157" i="2"/>
  <c r="AI157" i="2" s="1"/>
  <c r="AA157" i="2"/>
  <c r="AC157" i="2" s="1"/>
  <c r="K174" i="2"/>
  <c r="I156" i="2"/>
  <c r="J155" i="2"/>
  <c r="O176" i="2"/>
  <c r="M156" i="2"/>
  <c r="N155" i="2"/>
  <c r="R154" i="2"/>
  <c r="G155" i="3" s="1"/>
  <c r="W43" i="2" l="1"/>
  <c r="V44" i="2"/>
  <c r="Q156" i="2"/>
  <c r="E44" i="3"/>
  <c r="F44" i="3"/>
  <c r="G174" i="2"/>
  <c r="S174" i="2" s="1"/>
  <c r="E158" i="2"/>
  <c r="F157" i="2"/>
  <c r="AG158" i="2"/>
  <c r="AI158" i="2" s="1"/>
  <c r="AA158" i="2"/>
  <c r="AC158" i="2" s="1"/>
  <c r="K175" i="2"/>
  <c r="I157" i="2"/>
  <c r="J156" i="2"/>
  <c r="O177" i="2"/>
  <c r="M157" i="2"/>
  <c r="N156" i="2"/>
  <c r="T171" i="2"/>
  <c r="R155" i="2"/>
  <c r="G156" i="3" s="1"/>
  <c r="Q157" i="2" l="1"/>
  <c r="G175" i="2"/>
  <c r="S175" i="2" s="1"/>
  <c r="E159" i="2"/>
  <c r="F158" i="2"/>
  <c r="AG159" i="2"/>
  <c r="AI159" i="2" s="1"/>
  <c r="AA159" i="2"/>
  <c r="AC159" i="2" s="1"/>
  <c r="K176" i="2"/>
  <c r="I158" i="2"/>
  <c r="J157" i="2"/>
  <c r="O178" i="2"/>
  <c r="M158" i="2"/>
  <c r="N157" i="2"/>
  <c r="T172" i="2"/>
  <c r="R156" i="2"/>
  <c r="G157" i="3" s="1"/>
  <c r="D44" i="3"/>
  <c r="Q158" i="2" l="1"/>
  <c r="G176" i="2"/>
  <c r="S176" i="2" s="1"/>
  <c r="E160" i="2"/>
  <c r="F159" i="2"/>
  <c r="AG160" i="2"/>
  <c r="AI160" i="2" s="1"/>
  <c r="AA160" i="2"/>
  <c r="AC160" i="2" s="1"/>
  <c r="K177" i="2"/>
  <c r="I159" i="2"/>
  <c r="J158" i="2"/>
  <c r="O179" i="2"/>
  <c r="M159" i="2"/>
  <c r="N158" i="2"/>
  <c r="T173" i="2"/>
  <c r="R157" i="2"/>
  <c r="G158" i="3" s="1"/>
  <c r="X44" i="2"/>
  <c r="U44" i="2"/>
  <c r="Q159" i="2" l="1"/>
  <c r="R158" i="2"/>
  <c r="G177" i="2"/>
  <c r="S177" i="2" s="1"/>
  <c r="E161" i="2"/>
  <c r="F160" i="2"/>
  <c r="AG161" i="2"/>
  <c r="AI161" i="2" s="1"/>
  <c r="AA161" i="2"/>
  <c r="AC161" i="2" s="1"/>
  <c r="K178" i="2"/>
  <c r="I160" i="2"/>
  <c r="J159" i="2"/>
  <c r="O180" i="2"/>
  <c r="M160" i="2"/>
  <c r="N159" i="2"/>
  <c r="T174" i="2"/>
  <c r="W44" i="2"/>
  <c r="V45" i="2"/>
  <c r="R159" i="2" l="1"/>
  <c r="G159" i="3"/>
  <c r="T175" i="2"/>
  <c r="Q160" i="2"/>
  <c r="E45" i="3"/>
  <c r="F45" i="3"/>
  <c r="G178" i="2"/>
  <c r="S178" i="2" s="1"/>
  <c r="E162" i="2"/>
  <c r="F161" i="2"/>
  <c r="AG162" i="2"/>
  <c r="AI162" i="2" s="1"/>
  <c r="AA162" i="2"/>
  <c r="AC162" i="2" s="1"/>
  <c r="K179" i="2"/>
  <c r="I161" i="2"/>
  <c r="J160" i="2"/>
  <c r="O181" i="2"/>
  <c r="M161" i="2"/>
  <c r="N160" i="2"/>
  <c r="Q161" i="2" l="1"/>
  <c r="G160" i="3"/>
  <c r="T176" i="2"/>
  <c r="G179" i="2"/>
  <c r="S179" i="2" s="1"/>
  <c r="E163" i="2"/>
  <c r="F162" i="2"/>
  <c r="AG163" i="2"/>
  <c r="AI163" i="2" s="1"/>
  <c r="AA163" i="2"/>
  <c r="AC163" i="2" s="1"/>
  <c r="K180" i="2"/>
  <c r="I162" i="2"/>
  <c r="J161" i="2"/>
  <c r="O182" i="2"/>
  <c r="M162" i="2"/>
  <c r="N161" i="2"/>
  <c r="R160" i="2"/>
  <c r="G161" i="3" s="1"/>
  <c r="D45" i="3"/>
  <c r="Q162" i="2" l="1"/>
  <c r="G180" i="2"/>
  <c r="S180" i="2" s="1"/>
  <c r="E164" i="2"/>
  <c r="F163" i="2"/>
  <c r="AG164" i="2"/>
  <c r="AI164" i="2" s="1"/>
  <c r="AA164" i="2"/>
  <c r="AC164" i="2" s="1"/>
  <c r="K181" i="2"/>
  <c r="I163" i="2"/>
  <c r="J162" i="2"/>
  <c r="O183" i="2"/>
  <c r="M163" i="2"/>
  <c r="N162" i="2"/>
  <c r="T177" i="2"/>
  <c r="R161" i="2"/>
  <c r="G162" i="3" s="1"/>
  <c r="X45" i="2"/>
  <c r="U45" i="2"/>
  <c r="Q163" i="2" l="1"/>
  <c r="G181" i="2"/>
  <c r="S181" i="2" s="1"/>
  <c r="E165" i="2"/>
  <c r="F164" i="2"/>
  <c r="AG165" i="2"/>
  <c r="AI165" i="2" s="1"/>
  <c r="AA165" i="2"/>
  <c r="AC165" i="2" s="1"/>
  <c r="K182" i="2"/>
  <c r="I164" i="2"/>
  <c r="J163" i="2"/>
  <c r="O184" i="2"/>
  <c r="M164" i="2"/>
  <c r="N163" i="2"/>
  <c r="T178" i="2"/>
  <c r="W45" i="2"/>
  <c r="V46" i="2"/>
  <c r="R162" i="2"/>
  <c r="G163" i="3" s="1"/>
  <c r="Q164" i="2" l="1"/>
  <c r="E46" i="3"/>
  <c r="F46" i="3"/>
  <c r="G182" i="2"/>
  <c r="S182" i="2" s="1"/>
  <c r="E166" i="2"/>
  <c r="F165" i="2"/>
  <c r="AG166" i="2"/>
  <c r="AI166" i="2" s="1"/>
  <c r="AA166" i="2"/>
  <c r="AC166" i="2" s="1"/>
  <c r="K183" i="2"/>
  <c r="I165" i="2"/>
  <c r="J164" i="2"/>
  <c r="O185" i="2"/>
  <c r="M165" i="2"/>
  <c r="N164" i="2"/>
  <c r="T179" i="2"/>
  <c r="R163" i="2"/>
  <c r="G164" i="3" s="1"/>
  <c r="R164" i="2" l="1"/>
  <c r="Q165" i="2"/>
  <c r="G183" i="2"/>
  <c r="S183" i="2" s="1"/>
  <c r="E167" i="2"/>
  <c r="F166" i="2"/>
  <c r="AG167" i="2"/>
  <c r="AI167" i="2" s="1"/>
  <c r="AA167" i="2"/>
  <c r="AC167" i="2" s="1"/>
  <c r="K184" i="2"/>
  <c r="I166" i="2"/>
  <c r="J165" i="2"/>
  <c r="O186" i="2"/>
  <c r="M166" i="2"/>
  <c r="N165" i="2"/>
  <c r="T180" i="2"/>
  <c r="D46" i="3"/>
  <c r="G165" i="3" l="1"/>
  <c r="T181" i="2"/>
  <c r="R165" i="2"/>
  <c r="G166" i="3" s="1"/>
  <c r="Q166" i="2"/>
  <c r="G184" i="2"/>
  <c r="S184" i="2" s="1"/>
  <c r="E168" i="2"/>
  <c r="F167" i="2"/>
  <c r="AG168" i="2"/>
  <c r="AI168" i="2" s="1"/>
  <c r="AA168" i="2"/>
  <c r="AC168" i="2" s="1"/>
  <c r="K185" i="2"/>
  <c r="I167" i="2"/>
  <c r="J166" i="2"/>
  <c r="O187" i="2"/>
  <c r="M167" i="2"/>
  <c r="N166" i="2"/>
  <c r="X46" i="2"/>
  <c r="U46" i="2"/>
  <c r="Q167" i="2" l="1"/>
  <c r="R166" i="2"/>
  <c r="G167" i="3" s="1"/>
  <c r="T182" i="2"/>
  <c r="G185" i="2"/>
  <c r="S185" i="2" s="1"/>
  <c r="E169" i="2"/>
  <c r="F168" i="2"/>
  <c r="AG169" i="2"/>
  <c r="AI169" i="2" s="1"/>
  <c r="AA169" i="2"/>
  <c r="AC169" i="2" s="1"/>
  <c r="K186" i="2"/>
  <c r="I168" i="2"/>
  <c r="J167" i="2"/>
  <c r="O188" i="2"/>
  <c r="M168" i="2"/>
  <c r="N167" i="2"/>
  <c r="W46" i="2"/>
  <c r="V47" i="2"/>
  <c r="Q168" i="2" l="1"/>
  <c r="T183" i="2"/>
  <c r="E47" i="3"/>
  <c r="F47" i="3"/>
  <c r="G186" i="2"/>
  <c r="S186" i="2" s="1"/>
  <c r="E170" i="2"/>
  <c r="F169" i="2"/>
  <c r="AG170" i="2"/>
  <c r="AI170" i="2" s="1"/>
  <c r="AA170" i="2"/>
  <c r="AC170" i="2" s="1"/>
  <c r="K187" i="2"/>
  <c r="I169" i="2"/>
  <c r="J168" i="2"/>
  <c r="O189" i="2"/>
  <c r="M169" i="2"/>
  <c r="N168" i="2"/>
  <c r="R167" i="2"/>
  <c r="G168" i="3" s="1"/>
  <c r="Q169" i="2" l="1"/>
  <c r="R168" i="2"/>
  <c r="G187" i="2"/>
  <c r="S187" i="2" s="1"/>
  <c r="E171" i="2"/>
  <c r="F170" i="2"/>
  <c r="AG171" i="2"/>
  <c r="AI171" i="2" s="1"/>
  <c r="AA171" i="2"/>
  <c r="AC171" i="2" s="1"/>
  <c r="K188" i="2"/>
  <c r="I170" i="2"/>
  <c r="J169" i="2"/>
  <c r="O190" i="2"/>
  <c r="M170" i="2"/>
  <c r="N169" i="2"/>
  <c r="T184" i="2"/>
  <c r="D47" i="3"/>
  <c r="Q170" i="2" l="1"/>
  <c r="G169" i="3"/>
  <c r="T185" i="2"/>
  <c r="R169" i="2"/>
  <c r="G170" i="3" s="1"/>
  <c r="G188" i="2"/>
  <c r="S188" i="2" s="1"/>
  <c r="E172" i="2"/>
  <c r="F171" i="2"/>
  <c r="AG172" i="2"/>
  <c r="AI172" i="2" s="1"/>
  <c r="AA172" i="2"/>
  <c r="AC172" i="2" s="1"/>
  <c r="K189" i="2"/>
  <c r="I171" i="2"/>
  <c r="J170" i="2"/>
  <c r="O191" i="2"/>
  <c r="M171" i="2"/>
  <c r="N170" i="2"/>
  <c r="X47" i="2"/>
  <c r="U47" i="2"/>
  <c r="T186" i="2" l="1"/>
  <c r="Q171" i="2"/>
  <c r="G189" i="2"/>
  <c r="S189" i="2" s="1"/>
  <c r="E173" i="2"/>
  <c r="F172" i="2"/>
  <c r="AG173" i="2"/>
  <c r="AI173" i="2" s="1"/>
  <c r="AA173" i="2"/>
  <c r="AC173" i="2" s="1"/>
  <c r="K190" i="2"/>
  <c r="I172" i="2"/>
  <c r="J171" i="2"/>
  <c r="O192" i="2"/>
  <c r="M172" i="2"/>
  <c r="Q172" i="2" s="1"/>
  <c r="N171" i="2"/>
  <c r="W47" i="2"/>
  <c r="V48" i="2"/>
  <c r="R170" i="2"/>
  <c r="G171" i="3" s="1"/>
  <c r="R171" i="2" l="1"/>
  <c r="E48" i="3"/>
  <c r="F48" i="3"/>
  <c r="G190" i="2"/>
  <c r="S190" i="2" s="1"/>
  <c r="E174" i="2"/>
  <c r="F173" i="2"/>
  <c r="AG174" i="2"/>
  <c r="AI174" i="2" s="1"/>
  <c r="AA174" i="2"/>
  <c r="AC174" i="2" s="1"/>
  <c r="K191" i="2"/>
  <c r="I173" i="2"/>
  <c r="Q173" i="2" s="1"/>
  <c r="J172" i="2"/>
  <c r="O193" i="2"/>
  <c r="M173" i="2"/>
  <c r="N172" i="2"/>
  <c r="T187" i="2"/>
  <c r="G172" i="3" l="1"/>
  <c r="T188" i="2"/>
  <c r="G191" i="2"/>
  <c r="S191" i="2" s="1"/>
  <c r="E175" i="2"/>
  <c r="F174" i="2"/>
  <c r="AG175" i="2"/>
  <c r="AI175" i="2" s="1"/>
  <c r="AA175" i="2"/>
  <c r="AC175" i="2" s="1"/>
  <c r="K192" i="2"/>
  <c r="I174" i="2"/>
  <c r="Q174" i="2" s="1"/>
  <c r="J173" i="2"/>
  <c r="O194" i="2"/>
  <c r="M174" i="2"/>
  <c r="N173" i="2"/>
  <c r="R172" i="2"/>
  <c r="G173" i="3" s="1"/>
  <c r="D48" i="3"/>
  <c r="R173" i="2" l="1"/>
  <c r="G192" i="2"/>
  <c r="S192" i="2" s="1"/>
  <c r="E176" i="2"/>
  <c r="F175" i="2"/>
  <c r="AG176" i="2"/>
  <c r="AI176" i="2" s="1"/>
  <c r="AA176" i="2"/>
  <c r="AC176" i="2" s="1"/>
  <c r="K193" i="2"/>
  <c r="I175" i="2"/>
  <c r="J174" i="2"/>
  <c r="O195" i="2"/>
  <c r="M175" i="2"/>
  <c r="N174" i="2"/>
  <c r="T189" i="2"/>
  <c r="X48" i="2"/>
  <c r="U48" i="2"/>
  <c r="Q175" i="2" l="1"/>
  <c r="T190" i="2"/>
  <c r="G174" i="3"/>
  <c r="G193" i="2"/>
  <c r="S193" i="2" s="1"/>
  <c r="E177" i="2"/>
  <c r="F176" i="2"/>
  <c r="AG177" i="2"/>
  <c r="AI177" i="2" s="1"/>
  <c r="AA177" i="2"/>
  <c r="AC177" i="2" s="1"/>
  <c r="K194" i="2"/>
  <c r="I176" i="2"/>
  <c r="J175" i="2"/>
  <c r="O196" i="2"/>
  <c r="M176" i="2"/>
  <c r="N175" i="2"/>
  <c r="W48" i="2"/>
  <c r="V49" i="2"/>
  <c r="R174" i="2"/>
  <c r="G175" i="3" s="1"/>
  <c r="Q176" i="2" l="1"/>
  <c r="E49" i="3"/>
  <c r="F49" i="3"/>
  <c r="G194" i="2"/>
  <c r="S194" i="2" s="1"/>
  <c r="E178" i="2"/>
  <c r="F177" i="2"/>
  <c r="AG178" i="2"/>
  <c r="AI178" i="2" s="1"/>
  <c r="AA178" i="2"/>
  <c r="AC178" i="2" s="1"/>
  <c r="K195" i="2"/>
  <c r="I177" i="2"/>
  <c r="J176" i="2"/>
  <c r="O197" i="2"/>
  <c r="M177" i="2"/>
  <c r="N176" i="2"/>
  <c r="T191" i="2"/>
  <c r="R175" i="2"/>
  <c r="G176" i="3" s="1"/>
  <c r="Q177" i="2" l="1"/>
  <c r="G195" i="2"/>
  <c r="S195" i="2" s="1"/>
  <c r="E179" i="2"/>
  <c r="F178" i="2"/>
  <c r="AG179" i="2"/>
  <c r="AI179" i="2" s="1"/>
  <c r="AA179" i="2"/>
  <c r="AC179" i="2" s="1"/>
  <c r="K196" i="2"/>
  <c r="I178" i="2"/>
  <c r="J177" i="2"/>
  <c r="O198" i="2"/>
  <c r="M178" i="2"/>
  <c r="N177" i="2"/>
  <c r="T192" i="2"/>
  <c r="R176" i="2"/>
  <c r="G177" i="3" s="1"/>
  <c r="D49" i="3"/>
  <c r="Q178" i="2" l="1"/>
  <c r="G196" i="2"/>
  <c r="S196" i="2" s="1"/>
  <c r="E180" i="2"/>
  <c r="F179" i="2"/>
  <c r="AG180" i="2"/>
  <c r="AI180" i="2" s="1"/>
  <c r="AA180" i="2"/>
  <c r="AC180" i="2" s="1"/>
  <c r="K197" i="2"/>
  <c r="I179" i="2"/>
  <c r="J178" i="2"/>
  <c r="O199" i="2"/>
  <c r="M179" i="2"/>
  <c r="N178" i="2"/>
  <c r="T193" i="2"/>
  <c r="R177" i="2"/>
  <c r="G178" i="3" s="1"/>
  <c r="X49" i="2"/>
  <c r="U49" i="2"/>
  <c r="Q179" i="2" l="1"/>
  <c r="R178" i="2"/>
  <c r="G197" i="2"/>
  <c r="S197" i="2" s="1"/>
  <c r="E181" i="2"/>
  <c r="F180" i="2"/>
  <c r="AG181" i="2"/>
  <c r="AI181" i="2" s="1"/>
  <c r="AA181" i="2"/>
  <c r="AC181" i="2" s="1"/>
  <c r="K198" i="2"/>
  <c r="I180" i="2"/>
  <c r="J179" i="2"/>
  <c r="O200" i="2"/>
  <c r="M180" i="2"/>
  <c r="N179" i="2"/>
  <c r="T194" i="2"/>
  <c r="W49" i="2"/>
  <c r="V50" i="2"/>
  <c r="Q180" i="2" l="1"/>
  <c r="T195" i="2"/>
  <c r="G179" i="3"/>
  <c r="E50" i="3"/>
  <c r="F50" i="3"/>
  <c r="G198" i="2"/>
  <c r="S198" i="2" s="1"/>
  <c r="E182" i="2"/>
  <c r="F181" i="2"/>
  <c r="AG182" i="2"/>
  <c r="AI182" i="2" s="1"/>
  <c r="AA182" i="2"/>
  <c r="AC182" i="2" s="1"/>
  <c r="K199" i="2"/>
  <c r="I181" i="2"/>
  <c r="J180" i="2"/>
  <c r="O201" i="2"/>
  <c r="M181" i="2"/>
  <c r="N180" i="2"/>
  <c r="R179" i="2"/>
  <c r="G180" i="3" s="1"/>
  <c r="Q181" i="2" l="1"/>
  <c r="G199" i="2"/>
  <c r="S199" i="2" s="1"/>
  <c r="E183" i="2"/>
  <c r="F182" i="2"/>
  <c r="AG183" i="2"/>
  <c r="AI183" i="2" s="1"/>
  <c r="AA183" i="2"/>
  <c r="AC183" i="2" s="1"/>
  <c r="K200" i="2"/>
  <c r="I182" i="2"/>
  <c r="J181" i="2"/>
  <c r="O202" i="2"/>
  <c r="M182" i="2"/>
  <c r="N181" i="2"/>
  <c r="T196" i="2"/>
  <c r="R180" i="2"/>
  <c r="G181" i="3" s="1"/>
  <c r="D50" i="3"/>
  <c r="Q182" i="2" l="1"/>
  <c r="G200" i="2"/>
  <c r="S200" i="2" s="1"/>
  <c r="E184" i="2"/>
  <c r="F183" i="2"/>
  <c r="AG184" i="2"/>
  <c r="AI184" i="2" s="1"/>
  <c r="AA184" i="2"/>
  <c r="AC184" i="2" s="1"/>
  <c r="K201" i="2"/>
  <c r="I183" i="2"/>
  <c r="J182" i="2"/>
  <c r="O203" i="2"/>
  <c r="M183" i="2"/>
  <c r="N182" i="2"/>
  <c r="T197" i="2"/>
  <c r="R181" i="2"/>
  <c r="G182" i="3" s="1"/>
  <c r="X50" i="2"/>
  <c r="U50" i="2"/>
  <c r="Q183" i="2" l="1"/>
  <c r="G201" i="2"/>
  <c r="S201" i="2" s="1"/>
  <c r="E185" i="2"/>
  <c r="F184" i="2"/>
  <c r="AG185" i="2"/>
  <c r="AI185" i="2" s="1"/>
  <c r="AA185" i="2"/>
  <c r="AC185" i="2" s="1"/>
  <c r="K202" i="2"/>
  <c r="I184" i="2"/>
  <c r="J183" i="2"/>
  <c r="O204" i="2"/>
  <c r="M184" i="2"/>
  <c r="N183" i="2"/>
  <c r="T198" i="2"/>
  <c r="W50" i="2"/>
  <c r="V51" i="2"/>
  <c r="R182" i="2"/>
  <c r="G183" i="3" s="1"/>
  <c r="Q184" i="2" l="1"/>
  <c r="R183" i="2"/>
  <c r="G184" i="3" s="1"/>
  <c r="E51" i="3"/>
  <c r="F51" i="3"/>
  <c r="G202" i="2"/>
  <c r="S202" i="2" s="1"/>
  <c r="E186" i="2"/>
  <c r="F185" i="2"/>
  <c r="AG186" i="2"/>
  <c r="AI186" i="2" s="1"/>
  <c r="AA186" i="2"/>
  <c r="AC186" i="2" s="1"/>
  <c r="K203" i="2"/>
  <c r="I185" i="2"/>
  <c r="J184" i="2"/>
  <c r="O205" i="2"/>
  <c r="M185" i="2"/>
  <c r="N184" i="2"/>
  <c r="T199" i="2"/>
  <c r="R184" i="2" l="1"/>
  <c r="Q185" i="2"/>
  <c r="T200" i="2"/>
  <c r="G203" i="2"/>
  <c r="S203" i="2" s="1"/>
  <c r="E187" i="2"/>
  <c r="F186" i="2"/>
  <c r="AG187" i="2"/>
  <c r="AI187" i="2" s="1"/>
  <c r="AA187" i="2"/>
  <c r="AC187" i="2" s="1"/>
  <c r="K204" i="2"/>
  <c r="I186" i="2"/>
  <c r="J185" i="2"/>
  <c r="O206" i="2"/>
  <c r="M186" i="2"/>
  <c r="N185" i="2"/>
  <c r="D51" i="3"/>
  <c r="Q186" i="2" l="1"/>
  <c r="G185" i="3"/>
  <c r="T201" i="2"/>
  <c r="R185" i="2"/>
  <c r="G204" i="2"/>
  <c r="S204" i="2" s="1"/>
  <c r="E188" i="2"/>
  <c r="F187" i="2"/>
  <c r="AG188" i="2"/>
  <c r="AI188" i="2" s="1"/>
  <c r="AA188" i="2"/>
  <c r="AC188" i="2" s="1"/>
  <c r="K205" i="2"/>
  <c r="I187" i="2"/>
  <c r="J186" i="2"/>
  <c r="O207" i="2"/>
  <c r="M187" i="2"/>
  <c r="N186" i="2"/>
  <c r="X51" i="2"/>
  <c r="U51" i="2"/>
  <c r="R186" i="2" l="1"/>
  <c r="G186" i="3"/>
  <c r="T202" i="2"/>
  <c r="Q187" i="2"/>
  <c r="G205" i="2"/>
  <c r="S205" i="2" s="1"/>
  <c r="E189" i="2"/>
  <c r="F188" i="2"/>
  <c r="AG189" i="2"/>
  <c r="AI189" i="2" s="1"/>
  <c r="AA189" i="2"/>
  <c r="AC189" i="2" s="1"/>
  <c r="K206" i="2"/>
  <c r="I188" i="2"/>
  <c r="J187" i="2"/>
  <c r="O208" i="2"/>
  <c r="M188" i="2"/>
  <c r="N187" i="2"/>
  <c r="W51" i="2"/>
  <c r="V52" i="2"/>
  <c r="R187" i="2" l="1"/>
  <c r="Q188" i="2"/>
  <c r="G187" i="3"/>
  <c r="T203" i="2"/>
  <c r="E52" i="3"/>
  <c r="F52" i="3"/>
  <c r="G206" i="2"/>
  <c r="S206" i="2" s="1"/>
  <c r="E190" i="2"/>
  <c r="F189" i="2"/>
  <c r="AG190" i="2"/>
  <c r="AI190" i="2" s="1"/>
  <c r="AA190" i="2"/>
  <c r="AC190" i="2" s="1"/>
  <c r="K207" i="2"/>
  <c r="I189" i="2"/>
  <c r="J188" i="2"/>
  <c r="O209" i="2"/>
  <c r="M189" i="2"/>
  <c r="N188" i="2"/>
  <c r="Q189" i="2" l="1"/>
  <c r="R188" i="2"/>
  <c r="G188" i="3"/>
  <c r="T204" i="2"/>
  <c r="D52" i="3"/>
  <c r="G207" i="2"/>
  <c r="S207" i="2" s="1"/>
  <c r="E191" i="2"/>
  <c r="F190" i="2"/>
  <c r="AG191" i="2"/>
  <c r="AI191" i="2" s="1"/>
  <c r="AA191" i="2"/>
  <c r="AC191" i="2" s="1"/>
  <c r="K208" i="2"/>
  <c r="I190" i="2"/>
  <c r="J189" i="2"/>
  <c r="O210" i="2"/>
  <c r="M190" i="2"/>
  <c r="N189" i="2"/>
  <c r="G189" i="3" l="1"/>
  <c r="T205" i="2"/>
  <c r="R189" i="2"/>
  <c r="Q190" i="2"/>
  <c r="X52" i="2"/>
  <c r="U52" i="2"/>
  <c r="G208" i="2"/>
  <c r="S208" i="2" s="1"/>
  <c r="E192" i="2"/>
  <c r="F191" i="2"/>
  <c r="AG192" i="2"/>
  <c r="AI192" i="2" s="1"/>
  <c r="AA192" i="2"/>
  <c r="AC192" i="2" s="1"/>
  <c r="K209" i="2"/>
  <c r="I191" i="2"/>
  <c r="J190" i="2"/>
  <c r="O211" i="2"/>
  <c r="M191" i="2"/>
  <c r="N190" i="2"/>
  <c r="R190" i="2" l="1"/>
  <c r="Q191" i="2"/>
  <c r="T206" i="2"/>
  <c r="G190" i="3"/>
  <c r="W52" i="2"/>
  <c r="F53" i="3" s="1"/>
  <c r="V53" i="2"/>
  <c r="G209" i="2"/>
  <c r="S209" i="2" s="1"/>
  <c r="E193" i="2"/>
  <c r="F192" i="2"/>
  <c r="AG193" i="2"/>
  <c r="AI193" i="2" s="1"/>
  <c r="AA193" i="2"/>
  <c r="AC193" i="2" s="1"/>
  <c r="K210" i="2"/>
  <c r="I192" i="2"/>
  <c r="J191" i="2"/>
  <c r="O212" i="2"/>
  <c r="M192" i="2"/>
  <c r="N191" i="2"/>
  <c r="Q192" i="2" l="1"/>
  <c r="G191" i="3"/>
  <c r="T207" i="2"/>
  <c r="E53" i="3"/>
  <c r="G210" i="2"/>
  <c r="S210" i="2" s="1"/>
  <c r="E194" i="2"/>
  <c r="F193" i="2"/>
  <c r="AG194" i="2"/>
  <c r="AI194" i="2" s="1"/>
  <c r="AA194" i="2"/>
  <c r="AC194" i="2" s="1"/>
  <c r="K211" i="2"/>
  <c r="I193" i="2"/>
  <c r="J192" i="2"/>
  <c r="O213" i="2"/>
  <c r="M193" i="2"/>
  <c r="N192" i="2"/>
  <c r="R191" i="2"/>
  <c r="G192" i="3" s="1"/>
  <c r="Q193" i="2" l="1"/>
  <c r="D53" i="3"/>
  <c r="G211" i="2"/>
  <c r="S211" i="2" s="1"/>
  <c r="E195" i="2"/>
  <c r="F194" i="2"/>
  <c r="AG195" i="2"/>
  <c r="AI195" i="2" s="1"/>
  <c r="AA195" i="2"/>
  <c r="AC195" i="2" s="1"/>
  <c r="K212" i="2"/>
  <c r="I194" i="2"/>
  <c r="J193" i="2"/>
  <c r="O214" i="2"/>
  <c r="M194" i="2"/>
  <c r="N193" i="2"/>
  <c r="T208" i="2"/>
  <c r="R192" i="2"/>
  <c r="G193" i="3" s="1"/>
  <c r="Q194" i="2" l="1"/>
  <c r="R193" i="2"/>
  <c r="G194" i="3" s="1"/>
  <c r="X53" i="2"/>
  <c r="U53" i="2"/>
  <c r="G212" i="2"/>
  <c r="S212" i="2" s="1"/>
  <c r="E196" i="2"/>
  <c r="F195" i="2"/>
  <c r="AG196" i="2"/>
  <c r="AI196" i="2" s="1"/>
  <c r="AA196" i="2"/>
  <c r="AC196" i="2" s="1"/>
  <c r="K213" i="2"/>
  <c r="I195" i="2"/>
  <c r="J194" i="2"/>
  <c r="O215" i="2"/>
  <c r="M195" i="2"/>
  <c r="N194" i="2"/>
  <c r="T209" i="2"/>
  <c r="Q195" i="2" l="1"/>
  <c r="T210" i="2"/>
  <c r="V54" i="2"/>
  <c r="W53" i="2"/>
  <c r="F54" i="3" s="1"/>
  <c r="G213" i="2"/>
  <c r="S213" i="2" s="1"/>
  <c r="E197" i="2"/>
  <c r="F196" i="2"/>
  <c r="AG197" i="2"/>
  <c r="AI197" i="2" s="1"/>
  <c r="AA197" i="2"/>
  <c r="AC197" i="2" s="1"/>
  <c r="K214" i="2"/>
  <c r="I196" i="2"/>
  <c r="J195" i="2"/>
  <c r="O216" i="2"/>
  <c r="M196" i="2"/>
  <c r="N195" i="2"/>
  <c r="R194" i="2"/>
  <c r="G195" i="3" s="1"/>
  <c r="Q196" i="2" l="1"/>
  <c r="E54" i="3"/>
  <c r="G214" i="2"/>
  <c r="S214" i="2" s="1"/>
  <c r="E198" i="2"/>
  <c r="F197" i="2"/>
  <c r="AG198" i="2"/>
  <c r="AI198" i="2" s="1"/>
  <c r="AA198" i="2"/>
  <c r="AC198" i="2" s="1"/>
  <c r="K215" i="2"/>
  <c r="I197" i="2"/>
  <c r="J196" i="2"/>
  <c r="O217" i="2"/>
  <c r="M197" i="2"/>
  <c r="N196" i="2"/>
  <c r="T211" i="2"/>
  <c r="R195" i="2"/>
  <c r="G196" i="3" s="1"/>
  <c r="Q197" i="2" l="1"/>
  <c r="D54" i="3"/>
  <c r="G215" i="2"/>
  <c r="S215" i="2" s="1"/>
  <c r="E199" i="2"/>
  <c r="F198" i="2"/>
  <c r="AG199" i="2"/>
  <c r="AI199" i="2" s="1"/>
  <c r="AA199" i="2"/>
  <c r="AC199" i="2" s="1"/>
  <c r="K216" i="2"/>
  <c r="I198" i="2"/>
  <c r="J197" i="2"/>
  <c r="O218" i="2"/>
  <c r="M198" i="2"/>
  <c r="N197" i="2"/>
  <c r="T212" i="2"/>
  <c r="R196" i="2"/>
  <c r="G197" i="3" s="1"/>
  <c r="Q198" i="2" l="1"/>
  <c r="X54" i="2"/>
  <c r="U54" i="2"/>
  <c r="G216" i="2"/>
  <c r="S216" i="2" s="1"/>
  <c r="E200" i="2"/>
  <c r="F199" i="2"/>
  <c r="AG200" i="2"/>
  <c r="AI200" i="2" s="1"/>
  <c r="AA200" i="2"/>
  <c r="AC200" i="2" s="1"/>
  <c r="K217" i="2"/>
  <c r="I199" i="2"/>
  <c r="J198" i="2"/>
  <c r="O219" i="2"/>
  <c r="M199" i="2"/>
  <c r="N198" i="2"/>
  <c r="T213" i="2"/>
  <c r="R197" i="2"/>
  <c r="G198" i="3" s="1"/>
  <c r="Q199" i="2" l="1"/>
  <c r="W54" i="2"/>
  <c r="F55" i="3" s="1"/>
  <c r="V55" i="2"/>
  <c r="G217" i="2"/>
  <c r="S217" i="2" s="1"/>
  <c r="E201" i="2"/>
  <c r="F200" i="2"/>
  <c r="AG201" i="2"/>
  <c r="AI201" i="2" s="1"/>
  <c r="AA201" i="2"/>
  <c r="AC201" i="2" s="1"/>
  <c r="K218" i="2"/>
  <c r="I200" i="2"/>
  <c r="J199" i="2"/>
  <c r="O220" i="2"/>
  <c r="M200" i="2"/>
  <c r="N199" i="2"/>
  <c r="T214" i="2"/>
  <c r="R198" i="2"/>
  <c r="G199" i="3" s="1"/>
  <c r="Q200" i="2" l="1"/>
  <c r="E55" i="3"/>
  <c r="G218" i="2"/>
  <c r="S218" i="2" s="1"/>
  <c r="E202" i="2"/>
  <c r="F201" i="2"/>
  <c r="AG202" i="2"/>
  <c r="AI202" i="2" s="1"/>
  <c r="AA202" i="2"/>
  <c r="AC202" i="2" s="1"/>
  <c r="K219" i="2"/>
  <c r="I201" i="2"/>
  <c r="J200" i="2"/>
  <c r="O221" i="2"/>
  <c r="M201" i="2"/>
  <c r="N200" i="2"/>
  <c r="T215" i="2"/>
  <c r="R199" i="2"/>
  <c r="G200" i="3" s="1"/>
  <c r="D55" i="3" l="1"/>
  <c r="Q201" i="2"/>
  <c r="G219" i="2"/>
  <c r="S219" i="2" s="1"/>
  <c r="E203" i="2"/>
  <c r="F202" i="2"/>
  <c r="AG203" i="2"/>
  <c r="AI203" i="2" s="1"/>
  <c r="AA203" i="2"/>
  <c r="AC203" i="2" s="1"/>
  <c r="K220" i="2"/>
  <c r="I202" i="2"/>
  <c r="J201" i="2"/>
  <c r="O222" i="2"/>
  <c r="M202" i="2"/>
  <c r="N201" i="2"/>
  <c r="T216" i="2"/>
  <c r="R200" i="2"/>
  <c r="G201" i="3" s="1"/>
  <c r="X55" i="2" l="1"/>
  <c r="U55" i="2"/>
  <c r="R201" i="2"/>
  <c r="G202" i="3" s="1"/>
  <c r="Q202" i="2"/>
  <c r="G220" i="2"/>
  <c r="S220" i="2" s="1"/>
  <c r="E204" i="2"/>
  <c r="F203" i="2"/>
  <c r="AG204" i="2"/>
  <c r="AI204" i="2" s="1"/>
  <c r="AA204" i="2"/>
  <c r="AC204" i="2" s="1"/>
  <c r="K221" i="2"/>
  <c r="I203" i="2"/>
  <c r="J202" i="2"/>
  <c r="O223" i="2"/>
  <c r="M203" i="2"/>
  <c r="N202" i="2"/>
  <c r="T217" i="2"/>
  <c r="W55" i="2" l="1"/>
  <c r="V56" i="2"/>
  <c r="Q203" i="2"/>
  <c r="T218" i="2"/>
  <c r="G221" i="2"/>
  <c r="S221" i="2" s="1"/>
  <c r="E205" i="2"/>
  <c r="F204" i="2"/>
  <c r="AG205" i="2"/>
  <c r="AI205" i="2" s="1"/>
  <c r="AA205" i="2"/>
  <c r="AC205" i="2" s="1"/>
  <c r="K222" i="2"/>
  <c r="I204" i="2"/>
  <c r="J203" i="2"/>
  <c r="O224" i="2"/>
  <c r="M204" i="2"/>
  <c r="N203" i="2"/>
  <c r="R202" i="2"/>
  <c r="G203" i="3" s="1"/>
  <c r="Q204" i="2" l="1"/>
  <c r="E56" i="3"/>
  <c r="F56" i="3"/>
  <c r="G222" i="2"/>
  <c r="S222" i="2" s="1"/>
  <c r="E206" i="2"/>
  <c r="F205" i="2"/>
  <c r="AG206" i="2"/>
  <c r="AI206" i="2" s="1"/>
  <c r="AA206" i="2"/>
  <c r="AC206" i="2" s="1"/>
  <c r="K223" i="2"/>
  <c r="I205" i="2"/>
  <c r="Q205" i="2" s="1"/>
  <c r="J204" i="2"/>
  <c r="O225" i="2"/>
  <c r="M205" i="2"/>
  <c r="N204" i="2"/>
  <c r="T219" i="2"/>
  <c r="R203" i="2"/>
  <c r="G204" i="3" s="1"/>
  <c r="D56" i="3" l="1"/>
  <c r="G223" i="2"/>
  <c r="S223" i="2" s="1"/>
  <c r="E207" i="2"/>
  <c r="F206" i="2"/>
  <c r="AG207" i="2"/>
  <c r="AI207" i="2" s="1"/>
  <c r="AA207" i="2"/>
  <c r="AC207" i="2" s="1"/>
  <c r="K224" i="2"/>
  <c r="I206" i="2"/>
  <c r="J205" i="2"/>
  <c r="O226" i="2"/>
  <c r="M206" i="2"/>
  <c r="N205" i="2"/>
  <c r="T220" i="2"/>
  <c r="R204" i="2"/>
  <c r="G205" i="3" s="1"/>
  <c r="Q206" i="2" l="1"/>
  <c r="X56" i="2"/>
  <c r="U56" i="2"/>
  <c r="E208" i="2"/>
  <c r="G224" i="2"/>
  <c r="S224" i="2" s="1"/>
  <c r="F207" i="2"/>
  <c r="AG208" i="2"/>
  <c r="AI208" i="2" s="1"/>
  <c r="AA208" i="2"/>
  <c r="AC208" i="2" s="1"/>
  <c r="K225" i="2"/>
  <c r="I207" i="2"/>
  <c r="J206" i="2"/>
  <c r="O227" i="2"/>
  <c r="M207" i="2"/>
  <c r="N206" i="2"/>
  <c r="T221" i="2"/>
  <c r="R205" i="2"/>
  <c r="G206" i="3" s="1"/>
  <c r="W56" i="2" l="1"/>
  <c r="E57" i="3" s="1"/>
  <c r="V57" i="2"/>
  <c r="Q207" i="2"/>
  <c r="F57" i="3"/>
  <c r="G225" i="2"/>
  <c r="S225" i="2" s="1"/>
  <c r="E209" i="2"/>
  <c r="F208" i="2"/>
  <c r="AG209" i="2"/>
  <c r="AI209" i="2" s="1"/>
  <c r="AA209" i="2"/>
  <c r="AC209" i="2" s="1"/>
  <c r="K226" i="2"/>
  <c r="I208" i="2"/>
  <c r="J207" i="2"/>
  <c r="M208" i="2"/>
  <c r="O228" i="2"/>
  <c r="N207" i="2"/>
  <c r="T222" i="2"/>
  <c r="R206" i="2"/>
  <c r="G207" i="3" s="1"/>
  <c r="Q208" i="2" l="1"/>
  <c r="R207" i="2"/>
  <c r="D57" i="3"/>
  <c r="E210" i="2"/>
  <c r="F209" i="2"/>
  <c r="G226" i="2"/>
  <c r="S226" i="2" s="1"/>
  <c r="AG210" i="2"/>
  <c r="AI210" i="2" s="1"/>
  <c r="AA210" i="2"/>
  <c r="AC210" i="2" s="1"/>
  <c r="I209" i="2"/>
  <c r="K227" i="2"/>
  <c r="J208" i="2"/>
  <c r="O229" i="2"/>
  <c r="N208" i="2"/>
  <c r="M209" i="2"/>
  <c r="T223" i="2"/>
  <c r="Q209" i="2" l="1"/>
  <c r="G208" i="3"/>
  <c r="T224" i="2"/>
  <c r="R208" i="2"/>
  <c r="G209" i="3" s="1"/>
  <c r="X57" i="2"/>
  <c r="U57" i="2"/>
  <c r="G227" i="2"/>
  <c r="S227" i="2" s="1"/>
  <c r="E211" i="2"/>
  <c r="F210" i="2"/>
  <c r="AG211" i="2"/>
  <c r="AI211" i="2" s="1"/>
  <c r="AA211" i="2"/>
  <c r="AC211" i="2" s="1"/>
  <c r="K228" i="2"/>
  <c r="I210" i="2"/>
  <c r="J209" i="2"/>
  <c r="O230" i="2"/>
  <c r="M210" i="2"/>
  <c r="N209" i="2"/>
  <c r="Q210" i="2" l="1"/>
  <c r="T225" i="2"/>
  <c r="W57" i="2"/>
  <c r="V58" i="2"/>
  <c r="F211" i="2"/>
  <c r="G228" i="2"/>
  <c r="S228" i="2" s="1"/>
  <c r="E212" i="2"/>
  <c r="AG212" i="2"/>
  <c r="AI212" i="2" s="1"/>
  <c r="AA212" i="2"/>
  <c r="AC212" i="2" s="1"/>
  <c r="I211" i="2"/>
  <c r="J210" i="2"/>
  <c r="K229" i="2"/>
  <c r="O231" i="2"/>
  <c r="M211" i="2"/>
  <c r="N210" i="2"/>
  <c r="R209" i="2"/>
  <c r="G210" i="3" s="1"/>
  <c r="F58" i="3" l="1"/>
  <c r="E58" i="3"/>
  <c r="D58" i="3" s="1"/>
  <c r="Q211" i="2"/>
  <c r="G229" i="2"/>
  <c r="S229" i="2" s="1"/>
  <c r="E213" i="2"/>
  <c r="F212" i="2"/>
  <c r="AG213" i="2"/>
  <c r="AI213" i="2" s="1"/>
  <c r="AA213" i="2"/>
  <c r="AC213" i="2" s="1"/>
  <c r="K230" i="2"/>
  <c r="I212" i="2"/>
  <c r="J211" i="2"/>
  <c r="N211" i="2"/>
  <c r="O232" i="2"/>
  <c r="M212" i="2"/>
  <c r="T226" i="2"/>
  <c r="R210" i="2"/>
  <c r="G211" i="3" s="1"/>
  <c r="Q212" i="2" l="1"/>
  <c r="G230" i="2"/>
  <c r="S230" i="2" s="1"/>
  <c r="E214" i="2"/>
  <c r="F213" i="2"/>
  <c r="AG214" i="2"/>
  <c r="AI214" i="2" s="1"/>
  <c r="AA214" i="2"/>
  <c r="AC214" i="2" s="1"/>
  <c r="K231" i="2"/>
  <c r="I213" i="2"/>
  <c r="J212" i="2"/>
  <c r="O233" i="2"/>
  <c r="M213" i="2"/>
  <c r="N212" i="2"/>
  <c r="T227" i="2"/>
  <c r="R211" i="2"/>
  <c r="G212" i="3" s="1"/>
  <c r="X58" i="2"/>
  <c r="U58" i="2"/>
  <c r="Q213" i="2" l="1"/>
  <c r="G231" i="2"/>
  <c r="S231" i="2" s="1"/>
  <c r="E215" i="2"/>
  <c r="F214" i="2"/>
  <c r="AG215" i="2"/>
  <c r="AI215" i="2" s="1"/>
  <c r="AA215" i="2"/>
  <c r="AC215" i="2" s="1"/>
  <c r="K232" i="2"/>
  <c r="I214" i="2"/>
  <c r="J213" i="2"/>
  <c r="O234" i="2"/>
  <c r="M214" i="2"/>
  <c r="N213" i="2"/>
  <c r="T228" i="2"/>
  <c r="W58" i="2"/>
  <c r="V59" i="2"/>
  <c r="R212" i="2"/>
  <c r="G213" i="3" s="1"/>
  <c r="Q214" i="2" l="1"/>
  <c r="E59" i="3"/>
  <c r="F59" i="3"/>
  <c r="G232" i="2"/>
  <c r="S232" i="2" s="1"/>
  <c r="E216" i="2"/>
  <c r="F215" i="2"/>
  <c r="AG216" i="2"/>
  <c r="AI216" i="2" s="1"/>
  <c r="AA216" i="2"/>
  <c r="AC216" i="2" s="1"/>
  <c r="K233" i="2"/>
  <c r="I215" i="2"/>
  <c r="J214" i="2"/>
  <c r="O235" i="2"/>
  <c r="M215" i="2"/>
  <c r="N214" i="2"/>
  <c r="T229" i="2"/>
  <c r="R213" i="2"/>
  <c r="G214" i="3" s="1"/>
  <c r="Q215" i="2" l="1"/>
  <c r="G233" i="2"/>
  <c r="S233" i="2" s="1"/>
  <c r="E217" i="2"/>
  <c r="F216" i="2"/>
  <c r="AG217" i="2"/>
  <c r="AI217" i="2" s="1"/>
  <c r="AA217" i="2"/>
  <c r="AC217" i="2" s="1"/>
  <c r="K234" i="2"/>
  <c r="I216" i="2"/>
  <c r="J215" i="2"/>
  <c r="O236" i="2"/>
  <c r="M216" i="2"/>
  <c r="N215" i="2"/>
  <c r="T230" i="2"/>
  <c r="R214" i="2"/>
  <c r="G215" i="3" s="1"/>
  <c r="D59" i="3"/>
  <c r="Q216" i="2" l="1"/>
  <c r="G234" i="2"/>
  <c r="S234" i="2" s="1"/>
  <c r="E218" i="2"/>
  <c r="F217" i="2"/>
  <c r="AG218" i="2"/>
  <c r="AI218" i="2" s="1"/>
  <c r="AA218" i="2"/>
  <c r="AC218" i="2" s="1"/>
  <c r="K235" i="2"/>
  <c r="I217" i="2"/>
  <c r="J216" i="2"/>
  <c r="O237" i="2"/>
  <c r="M217" i="2"/>
  <c r="N216" i="2"/>
  <c r="T231" i="2"/>
  <c r="R215" i="2"/>
  <c r="G216" i="3" s="1"/>
  <c r="X59" i="2"/>
  <c r="U59" i="2"/>
  <c r="R216" i="2" l="1"/>
  <c r="Q217" i="2"/>
  <c r="G235" i="2"/>
  <c r="S235" i="2" s="1"/>
  <c r="E219" i="2"/>
  <c r="F218" i="2"/>
  <c r="AG219" i="2"/>
  <c r="AI219" i="2" s="1"/>
  <c r="AA219" i="2"/>
  <c r="AC219" i="2" s="1"/>
  <c r="K236" i="2"/>
  <c r="I218" i="2"/>
  <c r="J217" i="2"/>
  <c r="O238" i="2"/>
  <c r="M218" i="2"/>
  <c r="N217" i="2"/>
  <c r="T232" i="2"/>
  <c r="W59" i="2"/>
  <c r="V60" i="2"/>
  <c r="G217" i="3" l="1"/>
  <c r="T233" i="2"/>
  <c r="Q218" i="2"/>
  <c r="E60" i="3"/>
  <c r="F60" i="3"/>
  <c r="G236" i="2"/>
  <c r="S236" i="2" s="1"/>
  <c r="E220" i="2"/>
  <c r="F219" i="2"/>
  <c r="AG220" i="2"/>
  <c r="AI220" i="2" s="1"/>
  <c r="AA220" i="2"/>
  <c r="AC220" i="2" s="1"/>
  <c r="K237" i="2"/>
  <c r="I219" i="2"/>
  <c r="J218" i="2"/>
  <c r="O239" i="2"/>
  <c r="M219" i="2"/>
  <c r="N218" i="2"/>
  <c r="R217" i="2"/>
  <c r="G218" i="3" s="1"/>
  <c r="Q219" i="2" l="1"/>
  <c r="G237" i="2"/>
  <c r="S237" i="2" s="1"/>
  <c r="E221" i="2"/>
  <c r="F220" i="2"/>
  <c r="AG221" i="2"/>
  <c r="AI221" i="2" s="1"/>
  <c r="AA221" i="2"/>
  <c r="AC221" i="2" s="1"/>
  <c r="K238" i="2"/>
  <c r="I220" i="2"/>
  <c r="J219" i="2"/>
  <c r="O240" i="2"/>
  <c r="M220" i="2"/>
  <c r="N219" i="2"/>
  <c r="T234" i="2"/>
  <c r="R218" i="2"/>
  <c r="G219" i="3" s="1"/>
  <c r="D60" i="3"/>
  <c r="Q220" i="2" l="1"/>
  <c r="G238" i="2"/>
  <c r="S238" i="2" s="1"/>
  <c r="E222" i="2"/>
  <c r="F221" i="2"/>
  <c r="AG222" i="2"/>
  <c r="AI222" i="2" s="1"/>
  <c r="AA222" i="2"/>
  <c r="AC222" i="2" s="1"/>
  <c r="K239" i="2"/>
  <c r="I221" i="2"/>
  <c r="J220" i="2"/>
  <c r="O241" i="2"/>
  <c r="M221" i="2"/>
  <c r="N220" i="2"/>
  <c r="T235" i="2"/>
  <c r="R219" i="2"/>
  <c r="G220" i="3" s="1"/>
  <c r="X60" i="2"/>
  <c r="U60" i="2"/>
  <c r="R220" i="2" l="1"/>
  <c r="G221" i="3" s="1"/>
  <c r="Q221" i="2"/>
  <c r="G239" i="2"/>
  <c r="S239" i="2" s="1"/>
  <c r="E223" i="2"/>
  <c r="F222" i="2"/>
  <c r="AG223" i="2"/>
  <c r="AI223" i="2" s="1"/>
  <c r="AA223" i="2"/>
  <c r="AC223" i="2" s="1"/>
  <c r="K240" i="2"/>
  <c r="I222" i="2"/>
  <c r="J221" i="2"/>
  <c r="O242" i="2"/>
  <c r="M222" i="2"/>
  <c r="N221" i="2"/>
  <c r="T236" i="2"/>
  <c r="W60" i="2"/>
  <c r="V61" i="2"/>
  <c r="T237" i="2"/>
  <c r="Q222" i="2" l="1"/>
  <c r="E61" i="3"/>
  <c r="F61" i="3"/>
  <c r="G240" i="2"/>
  <c r="S240" i="2" s="1"/>
  <c r="E224" i="2"/>
  <c r="F223" i="2"/>
  <c r="AG224" i="2"/>
  <c r="AI224" i="2" s="1"/>
  <c r="AA224" i="2"/>
  <c r="AC224" i="2" s="1"/>
  <c r="K241" i="2"/>
  <c r="I223" i="2"/>
  <c r="J222" i="2"/>
  <c r="O243" i="2"/>
  <c r="M223" i="2"/>
  <c r="N222" i="2"/>
  <c r="R221" i="2"/>
  <c r="G222" i="3" s="1"/>
  <c r="Q223" i="2" l="1"/>
  <c r="G241" i="2"/>
  <c r="S241" i="2" s="1"/>
  <c r="E225" i="2"/>
  <c r="F224" i="2"/>
  <c r="AG225" i="2"/>
  <c r="AI225" i="2" s="1"/>
  <c r="AA225" i="2"/>
  <c r="AC225" i="2" s="1"/>
  <c r="K242" i="2"/>
  <c r="I224" i="2"/>
  <c r="J223" i="2"/>
  <c r="O244" i="2"/>
  <c r="M224" i="2"/>
  <c r="N223" i="2"/>
  <c r="T238" i="2"/>
  <c r="R222" i="2"/>
  <c r="G223" i="3" s="1"/>
  <c r="D61" i="3"/>
  <c r="Q224" i="2" l="1"/>
  <c r="G242" i="2"/>
  <c r="S242" i="2" s="1"/>
  <c r="E226" i="2"/>
  <c r="F225" i="2"/>
  <c r="AG226" i="2"/>
  <c r="AI226" i="2" s="1"/>
  <c r="AA226" i="2"/>
  <c r="AC226" i="2" s="1"/>
  <c r="K243" i="2"/>
  <c r="I225" i="2"/>
  <c r="J224" i="2"/>
  <c r="O245" i="2"/>
  <c r="M225" i="2"/>
  <c r="N224" i="2"/>
  <c r="T239" i="2"/>
  <c r="R223" i="2"/>
  <c r="G224" i="3" s="1"/>
  <c r="X61" i="2"/>
  <c r="U61" i="2"/>
  <c r="Q225" i="2" l="1"/>
  <c r="G243" i="2"/>
  <c r="S243" i="2" s="1"/>
  <c r="E227" i="2"/>
  <c r="F226" i="2"/>
  <c r="AG227" i="2"/>
  <c r="AI227" i="2" s="1"/>
  <c r="AA227" i="2"/>
  <c r="AC227" i="2" s="1"/>
  <c r="K244" i="2"/>
  <c r="I226" i="2"/>
  <c r="J225" i="2"/>
  <c r="O246" i="2"/>
  <c r="M226" i="2"/>
  <c r="N225" i="2"/>
  <c r="T240" i="2"/>
  <c r="W61" i="2"/>
  <c r="V62" i="2"/>
  <c r="R224" i="2"/>
  <c r="G225" i="3" s="1"/>
  <c r="Q226" i="2" l="1"/>
  <c r="E62" i="3"/>
  <c r="F62" i="3"/>
  <c r="G244" i="2"/>
  <c r="S244" i="2" s="1"/>
  <c r="E228" i="2"/>
  <c r="F227" i="2"/>
  <c r="AG228" i="2"/>
  <c r="AI228" i="2" s="1"/>
  <c r="AA228" i="2"/>
  <c r="AC228" i="2" s="1"/>
  <c r="K245" i="2"/>
  <c r="I227" i="2"/>
  <c r="J226" i="2"/>
  <c r="O247" i="2"/>
  <c r="M227" i="2"/>
  <c r="N226" i="2"/>
  <c r="T241" i="2"/>
  <c r="R225" i="2"/>
  <c r="G226" i="3" s="1"/>
  <c r="Q227" i="2" l="1"/>
  <c r="G245" i="2"/>
  <c r="S245" i="2" s="1"/>
  <c r="E229" i="2"/>
  <c r="F228" i="2"/>
  <c r="AG229" i="2"/>
  <c r="AI229" i="2" s="1"/>
  <c r="AA229" i="2"/>
  <c r="AC229" i="2" s="1"/>
  <c r="K246" i="2"/>
  <c r="I228" i="2"/>
  <c r="J227" i="2"/>
  <c r="O248" i="2"/>
  <c r="M228" i="2"/>
  <c r="Q228" i="2" s="1"/>
  <c r="N227" i="2"/>
  <c r="T242" i="2"/>
  <c r="R226" i="2"/>
  <c r="G227" i="3" s="1"/>
  <c r="D62" i="3"/>
  <c r="G246" i="2" l="1"/>
  <c r="S246" i="2" s="1"/>
  <c r="E230" i="2"/>
  <c r="F229" i="2"/>
  <c r="AG230" i="2"/>
  <c r="AI230" i="2" s="1"/>
  <c r="AA230" i="2"/>
  <c r="AC230" i="2" s="1"/>
  <c r="K247" i="2"/>
  <c r="I229" i="2"/>
  <c r="J228" i="2"/>
  <c r="O249" i="2"/>
  <c r="M229" i="2"/>
  <c r="N228" i="2"/>
  <c r="T243" i="2"/>
  <c r="R227" i="2"/>
  <c r="G228" i="3" s="1"/>
  <c r="X62" i="2"/>
  <c r="U62" i="2"/>
  <c r="Q229" i="2" l="1"/>
  <c r="R228" i="2"/>
  <c r="G247" i="2"/>
  <c r="S247" i="2" s="1"/>
  <c r="E231" i="2"/>
  <c r="F230" i="2"/>
  <c r="AG231" i="2"/>
  <c r="AI231" i="2" s="1"/>
  <c r="AA231" i="2"/>
  <c r="AC231" i="2" s="1"/>
  <c r="K248" i="2"/>
  <c r="I230" i="2"/>
  <c r="J229" i="2"/>
  <c r="O250" i="2"/>
  <c r="M230" i="2"/>
  <c r="N229" i="2"/>
  <c r="T244" i="2"/>
  <c r="W62" i="2"/>
  <c r="V63" i="2"/>
  <c r="Q230" i="2" l="1"/>
  <c r="G229" i="3"/>
  <c r="T245" i="2"/>
  <c r="E63" i="3"/>
  <c r="F63" i="3"/>
  <c r="G248" i="2"/>
  <c r="S248" i="2" s="1"/>
  <c r="E232" i="2"/>
  <c r="F231" i="2"/>
  <c r="AG232" i="2"/>
  <c r="AI232" i="2" s="1"/>
  <c r="AA232" i="2"/>
  <c r="AC232" i="2" s="1"/>
  <c r="K249" i="2"/>
  <c r="I231" i="2"/>
  <c r="J230" i="2"/>
  <c r="O251" i="2"/>
  <c r="M231" i="2"/>
  <c r="N230" i="2"/>
  <c r="R229" i="2"/>
  <c r="G230" i="3" s="1"/>
  <c r="Q231" i="2" l="1"/>
  <c r="G249" i="2"/>
  <c r="S249" i="2" s="1"/>
  <c r="E233" i="2"/>
  <c r="F232" i="2"/>
  <c r="AG233" i="2"/>
  <c r="AI233" i="2" s="1"/>
  <c r="AA233" i="2"/>
  <c r="AC233" i="2" s="1"/>
  <c r="K250" i="2"/>
  <c r="I232" i="2"/>
  <c r="J231" i="2"/>
  <c r="O252" i="2"/>
  <c r="M232" i="2"/>
  <c r="N231" i="2"/>
  <c r="T246" i="2"/>
  <c r="R230" i="2"/>
  <c r="G231" i="3" s="1"/>
  <c r="D63" i="3"/>
  <c r="Q232" i="2" l="1"/>
  <c r="R231" i="2"/>
  <c r="G232" i="3" s="1"/>
  <c r="G250" i="2"/>
  <c r="S250" i="2" s="1"/>
  <c r="E234" i="2"/>
  <c r="F233" i="2"/>
  <c r="AG234" i="2"/>
  <c r="AI234" i="2" s="1"/>
  <c r="AA234" i="2"/>
  <c r="AC234" i="2" s="1"/>
  <c r="K251" i="2"/>
  <c r="I233" i="2"/>
  <c r="J232" i="2"/>
  <c r="O253" i="2"/>
  <c r="M233" i="2"/>
  <c r="N232" i="2"/>
  <c r="T247" i="2"/>
  <c r="X63" i="2"/>
  <c r="U63" i="2"/>
  <c r="Q233" i="2" l="1"/>
  <c r="T248" i="2"/>
  <c r="G251" i="2"/>
  <c r="S251" i="2" s="1"/>
  <c r="E235" i="2"/>
  <c r="F234" i="2"/>
  <c r="AG235" i="2"/>
  <c r="AI235" i="2" s="1"/>
  <c r="AA235" i="2"/>
  <c r="AC235" i="2" s="1"/>
  <c r="K252" i="2"/>
  <c r="I234" i="2"/>
  <c r="J233" i="2"/>
  <c r="O254" i="2"/>
  <c r="M234" i="2"/>
  <c r="N233" i="2"/>
  <c r="W63" i="2"/>
  <c r="V64" i="2"/>
  <c r="R232" i="2"/>
  <c r="G233" i="3" s="1"/>
  <c r="Q234" i="2" l="1"/>
  <c r="E64" i="3"/>
  <c r="F64" i="3"/>
  <c r="G252" i="2"/>
  <c r="S252" i="2" s="1"/>
  <c r="E236" i="2"/>
  <c r="F235" i="2"/>
  <c r="AG236" i="2"/>
  <c r="AI236" i="2" s="1"/>
  <c r="AA236" i="2"/>
  <c r="AC236" i="2" s="1"/>
  <c r="K253" i="2"/>
  <c r="I235" i="2"/>
  <c r="J234" i="2"/>
  <c r="O255" i="2"/>
  <c r="M235" i="2"/>
  <c r="N234" i="2"/>
  <c r="T249" i="2"/>
  <c r="R233" i="2"/>
  <c r="G234" i="3" s="1"/>
  <c r="Q235" i="2" l="1"/>
  <c r="G253" i="2"/>
  <c r="S253" i="2" s="1"/>
  <c r="E237" i="2"/>
  <c r="F236" i="2"/>
  <c r="AG237" i="2"/>
  <c r="AI237" i="2" s="1"/>
  <c r="AA237" i="2"/>
  <c r="AC237" i="2" s="1"/>
  <c r="K254" i="2"/>
  <c r="I236" i="2"/>
  <c r="J235" i="2"/>
  <c r="O256" i="2"/>
  <c r="M236" i="2"/>
  <c r="N235" i="2"/>
  <c r="T250" i="2"/>
  <c r="R234" i="2"/>
  <c r="G235" i="3" s="1"/>
  <c r="D64" i="3"/>
  <c r="Q236" i="2" l="1"/>
  <c r="R235" i="2"/>
  <c r="G254" i="2"/>
  <c r="S254" i="2" s="1"/>
  <c r="E238" i="2"/>
  <c r="F237" i="2"/>
  <c r="AG238" i="2"/>
  <c r="AI238" i="2" s="1"/>
  <c r="AA238" i="2"/>
  <c r="AC238" i="2" s="1"/>
  <c r="K255" i="2"/>
  <c r="I237" i="2"/>
  <c r="J236" i="2"/>
  <c r="O257" i="2"/>
  <c r="M237" i="2"/>
  <c r="N236" i="2"/>
  <c r="T251" i="2"/>
  <c r="X64" i="2"/>
  <c r="U64" i="2"/>
  <c r="Q237" i="2" l="1"/>
  <c r="T252" i="2"/>
  <c r="G236" i="3"/>
  <c r="R236" i="2"/>
  <c r="G255" i="2"/>
  <c r="S255" i="2" s="1"/>
  <c r="E239" i="2"/>
  <c r="F238" i="2"/>
  <c r="AG239" i="2"/>
  <c r="AI239" i="2" s="1"/>
  <c r="AA239" i="2"/>
  <c r="AC239" i="2" s="1"/>
  <c r="K256" i="2"/>
  <c r="I238" i="2"/>
  <c r="J237" i="2"/>
  <c r="O258" i="2"/>
  <c r="M238" i="2"/>
  <c r="N237" i="2"/>
  <c r="W64" i="2"/>
  <c r="V65" i="2"/>
  <c r="Q238" i="2" l="1"/>
  <c r="T253" i="2"/>
  <c r="G237" i="3"/>
  <c r="E65" i="3"/>
  <c r="F65" i="3"/>
  <c r="G256" i="2"/>
  <c r="S256" i="2" s="1"/>
  <c r="E240" i="2"/>
  <c r="F239" i="2"/>
  <c r="AG240" i="2"/>
  <c r="AI240" i="2" s="1"/>
  <c r="AA240" i="2"/>
  <c r="AC240" i="2" s="1"/>
  <c r="K257" i="2"/>
  <c r="I239" i="2"/>
  <c r="J238" i="2"/>
  <c r="O259" i="2"/>
  <c r="M239" i="2"/>
  <c r="N238" i="2"/>
  <c r="R237" i="2"/>
  <c r="G238" i="3" s="1"/>
  <c r="Q239" i="2" l="1"/>
  <c r="G257" i="2"/>
  <c r="S257" i="2" s="1"/>
  <c r="E241" i="2"/>
  <c r="F240" i="2"/>
  <c r="AG241" i="2"/>
  <c r="AI241" i="2" s="1"/>
  <c r="AA241" i="2"/>
  <c r="AC241" i="2" s="1"/>
  <c r="K258" i="2"/>
  <c r="I240" i="2"/>
  <c r="J239" i="2"/>
  <c r="O260" i="2"/>
  <c r="M240" i="2"/>
  <c r="N239" i="2"/>
  <c r="T254" i="2"/>
  <c r="R238" i="2"/>
  <c r="G239" i="3" s="1"/>
  <c r="D65" i="3"/>
  <c r="R239" i="2" l="1"/>
  <c r="Q240" i="2"/>
  <c r="G258" i="2"/>
  <c r="S258" i="2" s="1"/>
  <c r="E242" i="2"/>
  <c r="F241" i="2"/>
  <c r="AG242" i="2"/>
  <c r="AI242" i="2" s="1"/>
  <c r="AA242" i="2"/>
  <c r="AC242" i="2" s="1"/>
  <c r="K259" i="2"/>
  <c r="I241" i="2"/>
  <c r="J240" i="2"/>
  <c r="O261" i="2"/>
  <c r="M241" i="2"/>
  <c r="N240" i="2"/>
  <c r="T255" i="2"/>
  <c r="X65" i="2"/>
  <c r="U65" i="2"/>
  <c r="Q241" i="2" l="1"/>
  <c r="G240" i="3"/>
  <c r="T256" i="2"/>
  <c r="G259" i="2"/>
  <c r="S259" i="2" s="1"/>
  <c r="E243" i="2"/>
  <c r="F242" i="2"/>
  <c r="AG243" i="2"/>
  <c r="AI243" i="2" s="1"/>
  <c r="AA243" i="2"/>
  <c r="AC243" i="2" s="1"/>
  <c r="K260" i="2"/>
  <c r="I242" i="2"/>
  <c r="J241" i="2"/>
  <c r="O262" i="2"/>
  <c r="M242" i="2"/>
  <c r="N241" i="2"/>
  <c r="W65" i="2"/>
  <c r="V66" i="2"/>
  <c r="R240" i="2"/>
  <c r="G241" i="3" s="1"/>
  <c r="Q242" i="2" l="1"/>
  <c r="R241" i="2"/>
  <c r="E66" i="3"/>
  <c r="F66" i="3"/>
  <c r="G260" i="2"/>
  <c r="S260" i="2" s="1"/>
  <c r="E244" i="2"/>
  <c r="F243" i="2"/>
  <c r="AG244" i="2"/>
  <c r="AI244" i="2" s="1"/>
  <c r="AA244" i="2"/>
  <c r="AC244" i="2" s="1"/>
  <c r="K261" i="2"/>
  <c r="I243" i="2"/>
  <c r="J242" i="2"/>
  <c r="O263" i="2"/>
  <c r="M243" i="2"/>
  <c r="N242" i="2"/>
  <c r="T257" i="2"/>
  <c r="Q243" i="2" l="1"/>
  <c r="G242" i="3"/>
  <c r="T258" i="2"/>
  <c r="D66" i="3"/>
  <c r="R242" i="2"/>
  <c r="G261" i="2"/>
  <c r="S261" i="2" s="1"/>
  <c r="E245" i="2"/>
  <c r="F244" i="2"/>
  <c r="AG245" i="2"/>
  <c r="AI245" i="2" s="1"/>
  <c r="AA245" i="2"/>
  <c r="AC245" i="2" s="1"/>
  <c r="K262" i="2"/>
  <c r="I244" i="2"/>
  <c r="J243" i="2"/>
  <c r="O264" i="2"/>
  <c r="M244" i="2"/>
  <c r="N243" i="2"/>
  <c r="G243" i="3" l="1"/>
  <c r="T259" i="2"/>
  <c r="Q244" i="2"/>
  <c r="X66" i="2"/>
  <c r="U66" i="2"/>
  <c r="G262" i="2"/>
  <c r="S262" i="2" s="1"/>
  <c r="E246" i="2"/>
  <c r="F245" i="2"/>
  <c r="AG246" i="2"/>
  <c r="AI246" i="2" s="1"/>
  <c r="AA246" i="2"/>
  <c r="AC246" i="2" s="1"/>
  <c r="K263" i="2"/>
  <c r="I245" i="2"/>
  <c r="J244" i="2"/>
  <c r="O265" i="2"/>
  <c r="M245" i="2"/>
  <c r="N244" i="2"/>
  <c r="R243" i="2"/>
  <c r="G244" i="3" s="1"/>
  <c r="Q245" i="2" l="1"/>
  <c r="R244" i="2"/>
  <c r="V67" i="2"/>
  <c r="W66" i="2"/>
  <c r="G263" i="2"/>
  <c r="S263" i="2" s="1"/>
  <c r="E247" i="2"/>
  <c r="F246" i="2"/>
  <c r="AG247" i="2"/>
  <c r="AI247" i="2" s="1"/>
  <c r="AA247" i="2"/>
  <c r="AC247" i="2" s="1"/>
  <c r="K264" i="2"/>
  <c r="I246" i="2"/>
  <c r="J245" i="2"/>
  <c r="O266" i="2"/>
  <c r="M246" i="2"/>
  <c r="N245" i="2"/>
  <c r="T260" i="2"/>
  <c r="T261" i="2" l="1"/>
  <c r="G245" i="3"/>
  <c r="Q246" i="2"/>
  <c r="R245" i="2"/>
  <c r="E67" i="3"/>
  <c r="F67" i="3"/>
  <c r="G264" i="2"/>
  <c r="S264" i="2" s="1"/>
  <c r="E248" i="2"/>
  <c r="F247" i="2"/>
  <c r="AG248" i="2"/>
  <c r="AI248" i="2" s="1"/>
  <c r="AA248" i="2"/>
  <c r="AC248" i="2" s="1"/>
  <c r="K265" i="2"/>
  <c r="I247" i="2"/>
  <c r="J246" i="2"/>
  <c r="O267" i="2"/>
  <c r="M247" i="2"/>
  <c r="N246" i="2"/>
  <c r="Q247" i="2" l="1"/>
  <c r="G246" i="3"/>
  <c r="T262" i="2"/>
  <c r="D67" i="3"/>
  <c r="G265" i="2"/>
  <c r="S265" i="2" s="1"/>
  <c r="E249" i="2"/>
  <c r="F248" i="2"/>
  <c r="AG249" i="2"/>
  <c r="AI249" i="2" s="1"/>
  <c r="AA249" i="2"/>
  <c r="AC249" i="2" s="1"/>
  <c r="K266" i="2"/>
  <c r="I248" i="2"/>
  <c r="J247" i="2"/>
  <c r="O268" i="2"/>
  <c r="M248" i="2"/>
  <c r="N247" i="2"/>
  <c r="R246" i="2"/>
  <c r="G247" i="3" s="1"/>
  <c r="Q248" i="2" l="1"/>
  <c r="X67" i="2"/>
  <c r="U67" i="2"/>
  <c r="G266" i="2"/>
  <c r="S266" i="2" s="1"/>
  <c r="E250" i="2"/>
  <c r="F249" i="2"/>
  <c r="AG250" i="2"/>
  <c r="AI250" i="2" s="1"/>
  <c r="AA250" i="2"/>
  <c r="AC250" i="2" s="1"/>
  <c r="K267" i="2"/>
  <c r="I249" i="2"/>
  <c r="J248" i="2"/>
  <c r="O269" i="2"/>
  <c r="M249" i="2"/>
  <c r="N248" i="2"/>
  <c r="T263" i="2"/>
  <c r="R247" i="2"/>
  <c r="G248" i="3" s="1"/>
  <c r="Q249" i="2" l="1"/>
  <c r="V68" i="2"/>
  <c r="W67" i="2"/>
  <c r="E68" i="3" s="1"/>
  <c r="F68" i="3"/>
  <c r="G267" i="2"/>
  <c r="S267" i="2" s="1"/>
  <c r="E251" i="2"/>
  <c r="F250" i="2"/>
  <c r="AG251" i="2"/>
  <c r="AI251" i="2" s="1"/>
  <c r="AA251" i="2"/>
  <c r="AC251" i="2" s="1"/>
  <c r="K268" i="2"/>
  <c r="I250" i="2"/>
  <c r="J249" i="2"/>
  <c r="O270" i="2"/>
  <c r="M250" i="2"/>
  <c r="N249" i="2"/>
  <c r="T264" i="2"/>
  <c r="R248" i="2"/>
  <c r="G249" i="3" s="1"/>
  <c r="Q250" i="2" l="1"/>
  <c r="D68" i="3"/>
  <c r="G268" i="2"/>
  <c r="S268" i="2" s="1"/>
  <c r="E252" i="2"/>
  <c r="F251" i="2"/>
  <c r="AG252" i="2"/>
  <c r="AI252" i="2" s="1"/>
  <c r="AA252" i="2"/>
  <c r="AC252" i="2" s="1"/>
  <c r="K269" i="2"/>
  <c r="I251" i="2"/>
  <c r="J250" i="2"/>
  <c r="O271" i="2"/>
  <c r="M251" i="2"/>
  <c r="N250" i="2"/>
  <c r="T265" i="2"/>
  <c r="R249" i="2"/>
  <c r="G250" i="3" s="1"/>
  <c r="Q251" i="2" l="1"/>
  <c r="U68" i="2"/>
  <c r="X68" i="2"/>
  <c r="G269" i="2"/>
  <c r="S269" i="2" s="1"/>
  <c r="E253" i="2"/>
  <c r="F252" i="2"/>
  <c r="AG253" i="2"/>
  <c r="AI253" i="2" s="1"/>
  <c r="AA253" i="2"/>
  <c r="AC253" i="2" s="1"/>
  <c r="K270" i="2"/>
  <c r="I252" i="2"/>
  <c r="J251" i="2"/>
  <c r="O272" i="2"/>
  <c r="M252" i="2"/>
  <c r="N251" i="2"/>
  <c r="T266" i="2"/>
  <c r="R250" i="2"/>
  <c r="G251" i="3" s="1"/>
  <c r="R251" i="2" l="1"/>
  <c r="Q252" i="2"/>
  <c r="W68" i="2"/>
  <c r="V69" i="2"/>
  <c r="G270" i="2"/>
  <c r="S270" i="2" s="1"/>
  <c r="E254" i="2"/>
  <c r="F253" i="2"/>
  <c r="AG254" i="2"/>
  <c r="AI254" i="2" s="1"/>
  <c r="AA254" i="2"/>
  <c r="AC254" i="2" s="1"/>
  <c r="K271" i="2"/>
  <c r="I253" i="2"/>
  <c r="J252" i="2"/>
  <c r="O273" i="2"/>
  <c r="M253" i="2"/>
  <c r="N252" i="2"/>
  <c r="T267" i="2"/>
  <c r="G252" i="3" l="1"/>
  <c r="T268" i="2"/>
  <c r="Q253" i="2"/>
  <c r="E69" i="3"/>
  <c r="F69" i="3"/>
  <c r="G271" i="2"/>
  <c r="S271" i="2" s="1"/>
  <c r="E255" i="2"/>
  <c r="F254" i="2"/>
  <c r="AG255" i="2"/>
  <c r="AI255" i="2" s="1"/>
  <c r="AA255" i="2"/>
  <c r="AC255" i="2" s="1"/>
  <c r="K272" i="2"/>
  <c r="I254" i="2"/>
  <c r="J253" i="2"/>
  <c r="O274" i="2"/>
  <c r="M254" i="2"/>
  <c r="N253" i="2"/>
  <c r="R252" i="2"/>
  <c r="G253" i="3" s="1"/>
  <c r="Q254" i="2" l="1"/>
  <c r="R253" i="2"/>
  <c r="D69" i="3"/>
  <c r="G272" i="2"/>
  <c r="S272" i="2" s="1"/>
  <c r="E256" i="2"/>
  <c r="F255" i="2"/>
  <c r="AG256" i="2"/>
  <c r="AI256" i="2" s="1"/>
  <c r="AA256" i="2"/>
  <c r="AC256" i="2" s="1"/>
  <c r="K273" i="2"/>
  <c r="I255" i="2"/>
  <c r="J254" i="2"/>
  <c r="O275" i="2"/>
  <c r="M255" i="2"/>
  <c r="N254" i="2"/>
  <c r="T269" i="2"/>
  <c r="Q255" i="2" l="1"/>
  <c r="G254" i="3"/>
  <c r="T270" i="2"/>
  <c r="X69" i="2"/>
  <c r="U69" i="2"/>
  <c r="G273" i="2"/>
  <c r="S273" i="2" s="1"/>
  <c r="E257" i="2"/>
  <c r="F256" i="2"/>
  <c r="AG257" i="2"/>
  <c r="AI257" i="2" s="1"/>
  <c r="AA257" i="2"/>
  <c r="AC257" i="2" s="1"/>
  <c r="K274" i="2"/>
  <c r="I256" i="2"/>
  <c r="J255" i="2"/>
  <c r="O276" i="2"/>
  <c r="M256" i="2"/>
  <c r="N255" i="2"/>
  <c r="R254" i="2"/>
  <c r="G255" i="3" s="1"/>
  <c r="Q256" i="2" l="1"/>
  <c r="V70" i="2"/>
  <c r="W69" i="2"/>
  <c r="F70" i="3" s="1"/>
  <c r="G274" i="2"/>
  <c r="S274" i="2" s="1"/>
  <c r="E258" i="2"/>
  <c r="F257" i="2"/>
  <c r="AG258" i="2"/>
  <c r="AI258" i="2" s="1"/>
  <c r="AA258" i="2"/>
  <c r="AC258" i="2" s="1"/>
  <c r="K275" i="2"/>
  <c r="I257" i="2"/>
  <c r="J256" i="2"/>
  <c r="O277" i="2"/>
  <c r="M257" i="2"/>
  <c r="N256" i="2"/>
  <c r="T271" i="2"/>
  <c r="R255" i="2"/>
  <c r="G256" i="3" s="1"/>
  <c r="Q257" i="2" l="1"/>
  <c r="E70" i="3"/>
  <c r="D70" i="3" s="1"/>
  <c r="R256" i="2"/>
  <c r="G257" i="3" s="1"/>
  <c r="G275" i="2"/>
  <c r="S275" i="2" s="1"/>
  <c r="E259" i="2"/>
  <c r="F258" i="2"/>
  <c r="AG259" i="2"/>
  <c r="AI259" i="2" s="1"/>
  <c r="AA259" i="2"/>
  <c r="AC259" i="2" s="1"/>
  <c r="K276" i="2"/>
  <c r="I258" i="2"/>
  <c r="J257" i="2"/>
  <c r="O278" i="2"/>
  <c r="M258" i="2"/>
  <c r="N257" i="2"/>
  <c r="T272" i="2"/>
  <c r="Q258" i="2" l="1"/>
  <c r="T273" i="2"/>
  <c r="G276" i="2"/>
  <c r="S276" i="2" s="1"/>
  <c r="E260" i="2"/>
  <c r="F259" i="2"/>
  <c r="AG260" i="2"/>
  <c r="AI260" i="2" s="1"/>
  <c r="AA260" i="2"/>
  <c r="AC260" i="2" s="1"/>
  <c r="K277" i="2"/>
  <c r="I259" i="2"/>
  <c r="J258" i="2"/>
  <c r="O279" i="2"/>
  <c r="M259" i="2"/>
  <c r="N258" i="2"/>
  <c r="X70" i="2"/>
  <c r="U70" i="2"/>
  <c r="R257" i="2"/>
  <c r="G258" i="3" s="1"/>
  <c r="Q259" i="2" l="1"/>
  <c r="R258" i="2"/>
  <c r="G277" i="2"/>
  <c r="S277" i="2" s="1"/>
  <c r="E261" i="2"/>
  <c r="F260" i="2"/>
  <c r="AG261" i="2"/>
  <c r="AI261" i="2" s="1"/>
  <c r="AA261" i="2"/>
  <c r="AC261" i="2" s="1"/>
  <c r="K278" i="2"/>
  <c r="I260" i="2"/>
  <c r="J259" i="2"/>
  <c r="O280" i="2"/>
  <c r="M260" i="2"/>
  <c r="N259" i="2"/>
  <c r="W70" i="2"/>
  <c r="V71" i="2"/>
  <c r="T274" i="2"/>
  <c r="G259" i="3" l="1"/>
  <c r="T275" i="2"/>
  <c r="Q260" i="2"/>
  <c r="E71" i="3"/>
  <c r="F71" i="3"/>
  <c r="G278" i="2"/>
  <c r="S278" i="2" s="1"/>
  <c r="E262" i="2"/>
  <c r="F261" i="2"/>
  <c r="AG262" i="2"/>
  <c r="AI262" i="2" s="1"/>
  <c r="AA262" i="2"/>
  <c r="AC262" i="2" s="1"/>
  <c r="K279" i="2"/>
  <c r="I261" i="2"/>
  <c r="J260" i="2"/>
  <c r="O281" i="2"/>
  <c r="M261" i="2"/>
  <c r="N260" i="2"/>
  <c r="R259" i="2"/>
  <c r="G260" i="3" s="1"/>
  <c r="R260" i="2" l="1"/>
  <c r="T277" i="2" s="1"/>
  <c r="Q261" i="2"/>
  <c r="G261" i="3"/>
  <c r="G279" i="2"/>
  <c r="S279" i="2" s="1"/>
  <c r="E263" i="2"/>
  <c r="F262" i="2"/>
  <c r="AG263" i="2"/>
  <c r="AI263" i="2" s="1"/>
  <c r="AA263" i="2"/>
  <c r="AC263" i="2" s="1"/>
  <c r="K280" i="2"/>
  <c r="I262" i="2"/>
  <c r="J261" i="2"/>
  <c r="O282" i="2"/>
  <c r="M262" i="2"/>
  <c r="Q262" i="2" s="1"/>
  <c r="N261" i="2"/>
  <c r="T276" i="2"/>
  <c r="D71" i="3"/>
  <c r="G280" i="2" l="1"/>
  <c r="S280" i="2" s="1"/>
  <c r="E264" i="2"/>
  <c r="F263" i="2"/>
  <c r="AG264" i="2"/>
  <c r="AI264" i="2" s="1"/>
  <c r="AA264" i="2"/>
  <c r="AC264" i="2" s="1"/>
  <c r="K281" i="2"/>
  <c r="I263" i="2"/>
  <c r="J262" i="2"/>
  <c r="O283" i="2"/>
  <c r="M263" i="2"/>
  <c r="N262" i="2"/>
  <c r="X71" i="2"/>
  <c r="U71" i="2"/>
  <c r="R261" i="2"/>
  <c r="G262" i="3" s="1"/>
  <c r="Q263" i="2" l="1"/>
  <c r="R262" i="2"/>
  <c r="G263" i="3" s="1"/>
  <c r="G281" i="2"/>
  <c r="S281" i="2" s="1"/>
  <c r="E265" i="2"/>
  <c r="F264" i="2"/>
  <c r="AG265" i="2"/>
  <c r="AI265" i="2" s="1"/>
  <c r="AA265" i="2"/>
  <c r="AC265" i="2" s="1"/>
  <c r="K282" i="2"/>
  <c r="I264" i="2"/>
  <c r="J263" i="2"/>
  <c r="O284" i="2"/>
  <c r="M264" i="2"/>
  <c r="N263" i="2"/>
  <c r="W71" i="2"/>
  <c r="V72" i="2"/>
  <c r="T278" i="2"/>
  <c r="Q264" i="2" l="1"/>
  <c r="R263" i="2"/>
  <c r="G264" i="3" s="1"/>
  <c r="T279" i="2"/>
  <c r="E72" i="3"/>
  <c r="F72" i="3"/>
  <c r="G282" i="2"/>
  <c r="S282" i="2" s="1"/>
  <c r="E266" i="2"/>
  <c r="F265" i="2"/>
  <c r="AG266" i="2"/>
  <c r="AI266" i="2" s="1"/>
  <c r="AA266" i="2"/>
  <c r="AC266" i="2" s="1"/>
  <c r="K283" i="2"/>
  <c r="I265" i="2"/>
  <c r="J264" i="2"/>
  <c r="O285" i="2"/>
  <c r="M265" i="2"/>
  <c r="N264" i="2"/>
  <c r="Q265" i="2" l="1"/>
  <c r="T280" i="2"/>
  <c r="G283" i="2"/>
  <c r="S283" i="2" s="1"/>
  <c r="E267" i="2"/>
  <c r="F266" i="2"/>
  <c r="AG267" i="2"/>
  <c r="AI267" i="2" s="1"/>
  <c r="AA267" i="2"/>
  <c r="AC267" i="2" s="1"/>
  <c r="K284" i="2"/>
  <c r="I266" i="2"/>
  <c r="J265" i="2"/>
  <c r="O286" i="2"/>
  <c r="M266" i="2"/>
  <c r="N265" i="2"/>
  <c r="R264" i="2"/>
  <c r="G265" i="3" s="1"/>
  <c r="D72" i="3"/>
  <c r="Q266" i="2" l="1"/>
  <c r="G284" i="2"/>
  <c r="S284" i="2" s="1"/>
  <c r="E268" i="2"/>
  <c r="F267" i="2"/>
  <c r="AG268" i="2"/>
  <c r="AI268" i="2" s="1"/>
  <c r="AA268" i="2"/>
  <c r="AC268" i="2" s="1"/>
  <c r="K285" i="2"/>
  <c r="I267" i="2"/>
  <c r="J266" i="2"/>
  <c r="O287" i="2"/>
  <c r="M267" i="2"/>
  <c r="N266" i="2"/>
  <c r="T281" i="2"/>
  <c r="X72" i="2"/>
  <c r="U72" i="2"/>
  <c r="R265" i="2"/>
  <c r="G266" i="3" s="1"/>
  <c r="Q267" i="2" l="1"/>
  <c r="G285" i="2"/>
  <c r="S285" i="2" s="1"/>
  <c r="E269" i="2"/>
  <c r="F268" i="2"/>
  <c r="AG269" i="2"/>
  <c r="AI269" i="2" s="1"/>
  <c r="AA269" i="2"/>
  <c r="AC269" i="2" s="1"/>
  <c r="K286" i="2"/>
  <c r="I268" i="2"/>
  <c r="J267" i="2"/>
  <c r="O288" i="2"/>
  <c r="M268" i="2"/>
  <c r="N267" i="2"/>
  <c r="W72" i="2"/>
  <c r="V73" i="2"/>
  <c r="T282" i="2"/>
  <c r="R266" i="2"/>
  <c r="G267" i="3" s="1"/>
  <c r="Q268" i="2" l="1"/>
  <c r="E73" i="3"/>
  <c r="F73" i="3"/>
  <c r="G286" i="2"/>
  <c r="S286" i="2" s="1"/>
  <c r="E270" i="2"/>
  <c r="F269" i="2"/>
  <c r="AG270" i="2"/>
  <c r="AI270" i="2" s="1"/>
  <c r="AA270" i="2"/>
  <c r="AC270" i="2" s="1"/>
  <c r="K287" i="2"/>
  <c r="I269" i="2"/>
  <c r="J268" i="2"/>
  <c r="O289" i="2"/>
  <c r="M269" i="2"/>
  <c r="N268" i="2"/>
  <c r="T283" i="2"/>
  <c r="R267" i="2"/>
  <c r="G268" i="3" s="1"/>
  <c r="Q269" i="2" l="1"/>
  <c r="R268" i="2"/>
  <c r="G269" i="3" s="1"/>
  <c r="G287" i="2"/>
  <c r="S287" i="2" s="1"/>
  <c r="E271" i="2"/>
  <c r="F270" i="2"/>
  <c r="AG271" i="2"/>
  <c r="AI271" i="2" s="1"/>
  <c r="AA271" i="2"/>
  <c r="AC271" i="2" s="1"/>
  <c r="K288" i="2"/>
  <c r="I270" i="2"/>
  <c r="J269" i="2"/>
  <c r="O290" i="2"/>
  <c r="M270" i="2"/>
  <c r="N269" i="2"/>
  <c r="T284" i="2"/>
  <c r="D73" i="3"/>
  <c r="Q270" i="2" l="1"/>
  <c r="T285" i="2"/>
  <c r="G288" i="2"/>
  <c r="S288" i="2" s="1"/>
  <c r="E272" i="2"/>
  <c r="F271" i="2"/>
  <c r="AG272" i="2"/>
  <c r="AI272" i="2" s="1"/>
  <c r="AA272" i="2"/>
  <c r="AC272" i="2" s="1"/>
  <c r="K289" i="2"/>
  <c r="I271" i="2"/>
  <c r="J270" i="2"/>
  <c r="O291" i="2"/>
  <c r="M271" i="2"/>
  <c r="N270" i="2"/>
  <c r="X73" i="2"/>
  <c r="U73" i="2"/>
  <c r="R269" i="2"/>
  <c r="G270" i="3" s="1"/>
  <c r="Q271" i="2" l="1"/>
  <c r="G289" i="2"/>
  <c r="S289" i="2" s="1"/>
  <c r="E273" i="2"/>
  <c r="F272" i="2"/>
  <c r="AG273" i="2"/>
  <c r="AI273" i="2" s="1"/>
  <c r="AA273" i="2"/>
  <c r="AC273" i="2" s="1"/>
  <c r="K290" i="2"/>
  <c r="I272" i="2"/>
  <c r="J271" i="2"/>
  <c r="O292" i="2"/>
  <c r="M272" i="2"/>
  <c r="N271" i="2"/>
  <c r="W73" i="2"/>
  <c r="V74" i="2"/>
  <c r="T286" i="2"/>
  <c r="R270" i="2"/>
  <c r="G271" i="3" s="1"/>
  <c r="Q272" i="2" l="1"/>
  <c r="E74" i="3"/>
  <c r="F74" i="3"/>
  <c r="G290" i="2"/>
  <c r="S290" i="2" s="1"/>
  <c r="E274" i="2"/>
  <c r="F273" i="2"/>
  <c r="AG274" i="2"/>
  <c r="AI274" i="2" s="1"/>
  <c r="AA274" i="2"/>
  <c r="AC274" i="2" s="1"/>
  <c r="K291" i="2"/>
  <c r="I273" i="2"/>
  <c r="J272" i="2"/>
  <c r="O293" i="2"/>
  <c r="M273" i="2"/>
  <c r="N272" i="2"/>
  <c r="T287" i="2"/>
  <c r="R271" i="2"/>
  <c r="G272" i="3" s="1"/>
  <c r="Q273" i="2" l="1"/>
  <c r="R272" i="2"/>
  <c r="G273" i="3" s="1"/>
  <c r="D74" i="3"/>
  <c r="G291" i="2"/>
  <c r="S291" i="2" s="1"/>
  <c r="E275" i="2"/>
  <c r="F274" i="2"/>
  <c r="AG275" i="2"/>
  <c r="AI275" i="2" s="1"/>
  <c r="AA275" i="2"/>
  <c r="AC275" i="2" s="1"/>
  <c r="K292" i="2"/>
  <c r="I274" i="2"/>
  <c r="J273" i="2"/>
  <c r="O294" i="2"/>
  <c r="M274" i="2"/>
  <c r="N273" i="2"/>
  <c r="T288" i="2"/>
  <c r="Q274" i="2" l="1"/>
  <c r="T289" i="2"/>
  <c r="X74" i="2"/>
  <c r="U74" i="2"/>
  <c r="G292" i="2"/>
  <c r="S292" i="2" s="1"/>
  <c r="E276" i="2"/>
  <c r="F275" i="2"/>
  <c r="AG276" i="2"/>
  <c r="AI276" i="2" s="1"/>
  <c r="AA276" i="2"/>
  <c r="AC276" i="2" s="1"/>
  <c r="K293" i="2"/>
  <c r="I275" i="2"/>
  <c r="J274" i="2"/>
  <c r="O295" i="2"/>
  <c r="M275" i="2"/>
  <c r="N274" i="2"/>
  <c r="R273" i="2"/>
  <c r="G274" i="3" s="1"/>
  <c r="Q275" i="2" l="1"/>
  <c r="W74" i="2"/>
  <c r="V75" i="2"/>
  <c r="G293" i="2"/>
  <c r="S293" i="2" s="1"/>
  <c r="E277" i="2"/>
  <c r="F276" i="2"/>
  <c r="AG277" i="2"/>
  <c r="AI277" i="2" s="1"/>
  <c r="AA277" i="2"/>
  <c r="AC277" i="2" s="1"/>
  <c r="K294" i="2"/>
  <c r="I276" i="2"/>
  <c r="J275" i="2"/>
  <c r="O296" i="2"/>
  <c r="M276" i="2"/>
  <c r="N275" i="2"/>
  <c r="T290" i="2"/>
  <c r="R274" i="2"/>
  <c r="G275" i="3" s="1"/>
  <c r="Q276" i="2" l="1"/>
  <c r="E75" i="3"/>
  <c r="F75" i="3"/>
  <c r="G294" i="2"/>
  <c r="S294" i="2" s="1"/>
  <c r="E278" i="2"/>
  <c r="F277" i="2"/>
  <c r="AG278" i="2"/>
  <c r="AI278" i="2" s="1"/>
  <c r="AA278" i="2"/>
  <c r="AC278" i="2" s="1"/>
  <c r="K295" i="2"/>
  <c r="I277" i="2"/>
  <c r="J276" i="2"/>
  <c r="O297" i="2"/>
  <c r="M277" i="2"/>
  <c r="N276" i="2"/>
  <c r="T291" i="2"/>
  <c r="R275" i="2"/>
  <c r="G276" i="3" s="1"/>
  <c r="Q277" i="2" l="1"/>
  <c r="D75" i="3"/>
  <c r="G295" i="2"/>
  <c r="S295" i="2" s="1"/>
  <c r="E279" i="2"/>
  <c r="F278" i="2"/>
  <c r="AG279" i="2"/>
  <c r="AI279" i="2" s="1"/>
  <c r="AA279" i="2"/>
  <c r="AC279" i="2" s="1"/>
  <c r="K296" i="2"/>
  <c r="I278" i="2"/>
  <c r="J277" i="2"/>
  <c r="O298" i="2"/>
  <c r="M278" i="2"/>
  <c r="N277" i="2"/>
  <c r="T292" i="2"/>
  <c r="R276" i="2"/>
  <c r="G277" i="3" s="1"/>
  <c r="Q278" i="2" l="1"/>
  <c r="U75" i="2"/>
  <c r="X75" i="2"/>
  <c r="G296" i="2"/>
  <c r="S296" i="2" s="1"/>
  <c r="E280" i="2"/>
  <c r="F279" i="2"/>
  <c r="AG280" i="2"/>
  <c r="AI280" i="2" s="1"/>
  <c r="AA280" i="2"/>
  <c r="AC280" i="2" s="1"/>
  <c r="K297" i="2"/>
  <c r="I279" i="2"/>
  <c r="J278" i="2"/>
  <c r="O299" i="2"/>
  <c r="M279" i="2"/>
  <c r="N278" i="2"/>
  <c r="T293" i="2"/>
  <c r="R277" i="2"/>
  <c r="G278" i="3" s="1"/>
  <c r="Q279" i="2" l="1"/>
  <c r="W75" i="2"/>
  <c r="V76" i="2"/>
  <c r="G297" i="2"/>
  <c r="S297" i="2" s="1"/>
  <c r="E281" i="2"/>
  <c r="F280" i="2"/>
  <c r="AG281" i="2"/>
  <c r="AI281" i="2" s="1"/>
  <c r="AA281" i="2"/>
  <c r="AC281" i="2" s="1"/>
  <c r="K298" i="2"/>
  <c r="I280" i="2"/>
  <c r="J279" i="2"/>
  <c r="O300" i="2"/>
  <c r="M280" i="2"/>
  <c r="N279" i="2"/>
  <c r="T294" i="2"/>
  <c r="R278" i="2"/>
  <c r="G279" i="3" s="1"/>
  <c r="Q280" i="2" l="1"/>
  <c r="E76" i="3"/>
  <c r="F76" i="3"/>
  <c r="G298" i="2"/>
  <c r="S298" i="2" s="1"/>
  <c r="E282" i="2"/>
  <c r="F281" i="2"/>
  <c r="AG282" i="2"/>
  <c r="AI282" i="2" s="1"/>
  <c r="AA282" i="2"/>
  <c r="AC282" i="2" s="1"/>
  <c r="K299" i="2"/>
  <c r="I281" i="2"/>
  <c r="J280" i="2"/>
  <c r="O301" i="2"/>
  <c r="M281" i="2"/>
  <c r="N280" i="2"/>
  <c r="T295" i="2"/>
  <c r="R279" i="2"/>
  <c r="G280" i="3" s="1"/>
  <c r="Q281" i="2" l="1"/>
  <c r="R280" i="2"/>
  <c r="G281" i="3" s="1"/>
  <c r="D76" i="3"/>
  <c r="G299" i="2"/>
  <c r="S299" i="2" s="1"/>
  <c r="E283" i="2"/>
  <c r="F282" i="2"/>
  <c r="AG283" i="2"/>
  <c r="AI283" i="2" s="1"/>
  <c r="AA283" i="2"/>
  <c r="AC283" i="2" s="1"/>
  <c r="K300" i="2"/>
  <c r="I282" i="2"/>
  <c r="J281" i="2"/>
  <c r="O302" i="2"/>
  <c r="M282" i="2"/>
  <c r="N281" i="2"/>
  <c r="T296" i="2"/>
  <c r="Q282" i="2" l="1"/>
  <c r="U76" i="2"/>
  <c r="X76" i="2"/>
  <c r="T297" i="2"/>
  <c r="G300" i="2"/>
  <c r="S300" i="2" s="1"/>
  <c r="E284" i="2"/>
  <c r="F283" i="2"/>
  <c r="AG284" i="2"/>
  <c r="AI284" i="2" s="1"/>
  <c r="AA284" i="2"/>
  <c r="AC284" i="2" s="1"/>
  <c r="K301" i="2"/>
  <c r="I283" i="2"/>
  <c r="J282" i="2"/>
  <c r="O303" i="2"/>
  <c r="M283" i="2"/>
  <c r="N282" i="2"/>
  <c r="R281" i="2"/>
  <c r="G282" i="3" s="1"/>
  <c r="W76" i="2" l="1"/>
  <c r="V77" i="2"/>
  <c r="Q283" i="2"/>
  <c r="E77" i="3"/>
  <c r="F77" i="3"/>
  <c r="G301" i="2"/>
  <c r="S301" i="2" s="1"/>
  <c r="E285" i="2"/>
  <c r="F284" i="2"/>
  <c r="AG285" i="2"/>
  <c r="AI285" i="2" s="1"/>
  <c r="AA285" i="2"/>
  <c r="AC285" i="2" s="1"/>
  <c r="K302" i="2"/>
  <c r="I284" i="2"/>
  <c r="J283" i="2"/>
  <c r="O304" i="2"/>
  <c r="M284" i="2"/>
  <c r="N283" i="2"/>
  <c r="T298" i="2"/>
  <c r="R282" i="2"/>
  <c r="G283" i="3" s="1"/>
  <c r="Q284" i="2" l="1"/>
  <c r="D77" i="3"/>
  <c r="G302" i="2"/>
  <c r="S302" i="2" s="1"/>
  <c r="E286" i="2"/>
  <c r="F285" i="2"/>
  <c r="AG286" i="2"/>
  <c r="AI286" i="2" s="1"/>
  <c r="AA286" i="2"/>
  <c r="AC286" i="2" s="1"/>
  <c r="K303" i="2"/>
  <c r="I285" i="2"/>
  <c r="J284" i="2"/>
  <c r="O305" i="2"/>
  <c r="M285" i="2"/>
  <c r="N284" i="2"/>
  <c r="T299" i="2"/>
  <c r="R283" i="2"/>
  <c r="G284" i="3" s="1"/>
  <c r="Q285" i="2" l="1"/>
  <c r="R284" i="2"/>
  <c r="G285" i="3" s="1"/>
  <c r="X77" i="2"/>
  <c r="U77" i="2"/>
  <c r="G303" i="2"/>
  <c r="S303" i="2" s="1"/>
  <c r="E287" i="2"/>
  <c r="F286" i="2"/>
  <c r="AG287" i="2"/>
  <c r="AI287" i="2" s="1"/>
  <c r="AA287" i="2"/>
  <c r="AC287" i="2" s="1"/>
  <c r="K304" i="2"/>
  <c r="I286" i="2"/>
  <c r="J285" i="2"/>
  <c r="O306" i="2"/>
  <c r="M286" i="2"/>
  <c r="N285" i="2"/>
  <c r="T300" i="2"/>
  <c r="Q286" i="2" l="1"/>
  <c r="T301" i="2"/>
  <c r="R285" i="2"/>
  <c r="G286" i="3" s="1"/>
  <c r="V78" i="2"/>
  <c r="W77" i="2"/>
  <c r="F78" i="3" s="1"/>
  <c r="G304" i="2"/>
  <c r="S304" i="2" s="1"/>
  <c r="E288" i="2"/>
  <c r="F287" i="2"/>
  <c r="AG288" i="2"/>
  <c r="AI288" i="2" s="1"/>
  <c r="AA288" i="2"/>
  <c r="AC288" i="2" s="1"/>
  <c r="K305" i="2"/>
  <c r="I287" i="2"/>
  <c r="J286" i="2"/>
  <c r="O307" i="2"/>
  <c r="M287" i="2"/>
  <c r="N286" i="2"/>
  <c r="Q287" i="2" l="1"/>
  <c r="T302" i="2"/>
  <c r="E78" i="3"/>
  <c r="G305" i="2"/>
  <c r="S305" i="2" s="1"/>
  <c r="E289" i="2"/>
  <c r="F288" i="2"/>
  <c r="AG289" i="2"/>
  <c r="AI289" i="2" s="1"/>
  <c r="AA289" i="2"/>
  <c r="AC289" i="2" s="1"/>
  <c r="K306" i="2"/>
  <c r="I288" i="2"/>
  <c r="J287" i="2"/>
  <c r="O308" i="2"/>
  <c r="M288" i="2"/>
  <c r="N287" i="2"/>
  <c r="R286" i="2"/>
  <c r="G287" i="3" s="1"/>
  <c r="Q288" i="2" l="1"/>
  <c r="D78" i="3"/>
  <c r="G306" i="2"/>
  <c r="S306" i="2" s="1"/>
  <c r="E290" i="2"/>
  <c r="F289" i="2"/>
  <c r="AG290" i="2"/>
  <c r="AI290" i="2" s="1"/>
  <c r="AA290" i="2"/>
  <c r="AC290" i="2" s="1"/>
  <c r="K307" i="2"/>
  <c r="I289" i="2"/>
  <c r="J288" i="2"/>
  <c r="O309" i="2"/>
  <c r="M289" i="2"/>
  <c r="N288" i="2"/>
  <c r="T303" i="2"/>
  <c r="R287" i="2"/>
  <c r="G288" i="3" s="1"/>
  <c r="U78" i="2" l="1"/>
  <c r="X78" i="2"/>
  <c r="Q289" i="2"/>
  <c r="G307" i="2"/>
  <c r="S307" i="2" s="1"/>
  <c r="E291" i="2"/>
  <c r="F290" i="2"/>
  <c r="AG291" i="2"/>
  <c r="AI291" i="2" s="1"/>
  <c r="AA291" i="2"/>
  <c r="AC291" i="2" s="1"/>
  <c r="K308" i="2"/>
  <c r="I290" i="2"/>
  <c r="J289" i="2"/>
  <c r="O310" i="2"/>
  <c r="M290" i="2"/>
  <c r="N289" i="2"/>
  <c r="T304" i="2"/>
  <c r="R288" i="2"/>
  <c r="G289" i="3" s="1"/>
  <c r="V79" i="2" l="1"/>
  <c r="W78" i="2"/>
  <c r="E79" i="3" s="1"/>
  <c r="Q290" i="2"/>
  <c r="F79" i="3"/>
  <c r="G308" i="2"/>
  <c r="S308" i="2" s="1"/>
  <c r="E292" i="2"/>
  <c r="F291" i="2"/>
  <c r="AG292" i="2"/>
  <c r="AI292" i="2" s="1"/>
  <c r="AA292" i="2"/>
  <c r="AC292" i="2" s="1"/>
  <c r="K309" i="2"/>
  <c r="I291" i="2"/>
  <c r="J290" i="2"/>
  <c r="O311" i="2"/>
  <c r="M291" i="2"/>
  <c r="N290" i="2"/>
  <c r="T305" i="2"/>
  <c r="R289" i="2"/>
  <c r="G290" i="3" s="1"/>
  <c r="Q291" i="2" l="1"/>
  <c r="R290" i="2"/>
  <c r="G291" i="3" s="1"/>
  <c r="D79" i="3"/>
  <c r="G309" i="2"/>
  <c r="S309" i="2" s="1"/>
  <c r="E293" i="2"/>
  <c r="F292" i="2"/>
  <c r="AG293" i="2"/>
  <c r="AI293" i="2" s="1"/>
  <c r="AA293" i="2"/>
  <c r="AC293" i="2" s="1"/>
  <c r="K310" i="2"/>
  <c r="I292" i="2"/>
  <c r="J291" i="2"/>
  <c r="O312" i="2"/>
  <c r="M292" i="2"/>
  <c r="N291" i="2"/>
  <c r="T306" i="2"/>
  <c r="U79" i="2" l="1"/>
  <c r="X79" i="2"/>
  <c r="Q292" i="2"/>
  <c r="T307" i="2"/>
  <c r="G310" i="2"/>
  <c r="S310" i="2" s="1"/>
  <c r="E294" i="2"/>
  <c r="F293" i="2"/>
  <c r="AG294" i="2"/>
  <c r="AI294" i="2" s="1"/>
  <c r="AA294" i="2"/>
  <c r="AC294" i="2" s="1"/>
  <c r="K311" i="2"/>
  <c r="I293" i="2"/>
  <c r="J292" i="2"/>
  <c r="O313" i="2"/>
  <c r="M293" i="2"/>
  <c r="N292" i="2"/>
  <c r="R291" i="2"/>
  <c r="G292" i="3" s="1"/>
  <c r="W79" i="2" l="1"/>
  <c r="V80" i="2"/>
  <c r="Q293" i="2"/>
  <c r="E80" i="3"/>
  <c r="F80" i="3"/>
  <c r="G311" i="2"/>
  <c r="S311" i="2" s="1"/>
  <c r="E295" i="2"/>
  <c r="F294" i="2"/>
  <c r="AG295" i="2"/>
  <c r="AI295" i="2" s="1"/>
  <c r="AA295" i="2"/>
  <c r="AC295" i="2" s="1"/>
  <c r="K312" i="2"/>
  <c r="I294" i="2"/>
  <c r="J293" i="2"/>
  <c r="O314" i="2"/>
  <c r="M294" i="2"/>
  <c r="N293" i="2"/>
  <c r="T308" i="2"/>
  <c r="R292" i="2"/>
  <c r="G293" i="3" s="1"/>
  <c r="Q294" i="2" l="1"/>
  <c r="D80" i="3"/>
  <c r="G312" i="2"/>
  <c r="S312" i="2" s="1"/>
  <c r="E296" i="2"/>
  <c r="F295" i="2"/>
  <c r="AG296" i="2"/>
  <c r="AI296" i="2" s="1"/>
  <c r="AA296" i="2"/>
  <c r="AC296" i="2" s="1"/>
  <c r="K313" i="2"/>
  <c r="I295" i="2"/>
  <c r="J294" i="2"/>
  <c r="O315" i="2"/>
  <c r="M295" i="2"/>
  <c r="N294" i="2"/>
  <c r="T309" i="2"/>
  <c r="R293" i="2"/>
  <c r="G294" i="3" s="1"/>
  <c r="Q295" i="2" l="1"/>
  <c r="X80" i="2"/>
  <c r="U80" i="2"/>
  <c r="G313" i="2"/>
  <c r="S313" i="2" s="1"/>
  <c r="E297" i="2"/>
  <c r="F296" i="2"/>
  <c r="AG297" i="2"/>
  <c r="AI297" i="2" s="1"/>
  <c r="AA297" i="2"/>
  <c r="AC297" i="2" s="1"/>
  <c r="K314" i="2"/>
  <c r="I296" i="2"/>
  <c r="J295" i="2"/>
  <c r="O316" i="2"/>
  <c r="M296" i="2"/>
  <c r="N295" i="2"/>
  <c r="T310" i="2"/>
  <c r="R294" i="2"/>
  <c r="G295" i="3" s="1"/>
  <c r="Q296" i="2" l="1"/>
  <c r="W80" i="2"/>
  <c r="F81" i="3" s="1"/>
  <c r="V81" i="2"/>
  <c r="G314" i="2"/>
  <c r="S314" i="2" s="1"/>
  <c r="E298" i="2"/>
  <c r="F297" i="2"/>
  <c r="AG298" i="2"/>
  <c r="AI298" i="2" s="1"/>
  <c r="AA298" i="2"/>
  <c r="AC298" i="2" s="1"/>
  <c r="K315" i="2"/>
  <c r="I297" i="2"/>
  <c r="J296" i="2"/>
  <c r="O317" i="2"/>
  <c r="M297" i="2"/>
  <c r="N296" i="2"/>
  <c r="T311" i="2"/>
  <c r="R295" i="2"/>
  <c r="G296" i="3" s="1"/>
  <c r="Q297" i="2" l="1"/>
  <c r="E81" i="3"/>
  <c r="D81" i="3" s="1"/>
  <c r="G315" i="2"/>
  <c r="S315" i="2" s="1"/>
  <c r="E299" i="2"/>
  <c r="F298" i="2"/>
  <c r="AG299" i="2"/>
  <c r="AI299" i="2" s="1"/>
  <c r="AA299" i="2"/>
  <c r="AC299" i="2" s="1"/>
  <c r="K316" i="2"/>
  <c r="I298" i="2"/>
  <c r="J297" i="2"/>
  <c r="O318" i="2"/>
  <c r="M298" i="2"/>
  <c r="N297" i="2"/>
  <c r="T312" i="2"/>
  <c r="R296" i="2"/>
  <c r="G297" i="3" s="1"/>
  <c r="Q298" i="2" l="1"/>
  <c r="G316" i="2"/>
  <c r="S316" i="2" s="1"/>
  <c r="E300" i="2"/>
  <c r="F299" i="2"/>
  <c r="AG300" i="2"/>
  <c r="AI300" i="2" s="1"/>
  <c r="AA300" i="2"/>
  <c r="AC300" i="2" s="1"/>
  <c r="K317" i="2"/>
  <c r="I299" i="2"/>
  <c r="J298" i="2"/>
  <c r="O319" i="2"/>
  <c r="M299" i="2"/>
  <c r="N298" i="2"/>
  <c r="T313" i="2"/>
  <c r="R297" i="2"/>
  <c r="G298" i="3" s="1"/>
  <c r="X81" i="2"/>
  <c r="U81" i="2"/>
  <c r="R298" i="2" l="1"/>
  <c r="Q299" i="2"/>
  <c r="G317" i="2"/>
  <c r="S317" i="2" s="1"/>
  <c r="E301" i="2"/>
  <c r="F300" i="2"/>
  <c r="AG301" i="2"/>
  <c r="AI301" i="2" s="1"/>
  <c r="AA301" i="2"/>
  <c r="AC301" i="2" s="1"/>
  <c r="K318" i="2"/>
  <c r="I300" i="2"/>
  <c r="J299" i="2"/>
  <c r="O320" i="2"/>
  <c r="M300" i="2"/>
  <c r="N299" i="2"/>
  <c r="T314" i="2"/>
  <c r="W81" i="2"/>
  <c r="V82" i="2"/>
  <c r="G299" i="3" l="1"/>
  <c r="T315" i="2"/>
  <c r="Q300" i="2"/>
  <c r="E82" i="3"/>
  <c r="F82" i="3"/>
  <c r="G318" i="2"/>
  <c r="S318" i="2" s="1"/>
  <c r="E302" i="2"/>
  <c r="F301" i="2"/>
  <c r="AG302" i="2"/>
  <c r="AI302" i="2" s="1"/>
  <c r="AA302" i="2"/>
  <c r="AC302" i="2" s="1"/>
  <c r="K319" i="2"/>
  <c r="I301" i="2"/>
  <c r="J300" i="2"/>
  <c r="O321" i="2"/>
  <c r="M301" i="2"/>
  <c r="N300" i="2"/>
  <c r="R299" i="2"/>
  <c r="G300" i="3" s="1"/>
  <c r="Q301" i="2" l="1"/>
  <c r="G319" i="2"/>
  <c r="S319" i="2" s="1"/>
  <c r="E303" i="2"/>
  <c r="F302" i="2"/>
  <c r="AG303" i="2"/>
  <c r="AI303" i="2" s="1"/>
  <c r="AA303" i="2"/>
  <c r="AC303" i="2" s="1"/>
  <c r="K320" i="2"/>
  <c r="I302" i="2"/>
  <c r="J301" i="2"/>
  <c r="O322" i="2"/>
  <c r="M302" i="2"/>
  <c r="N301" i="2"/>
  <c r="T316" i="2"/>
  <c r="R300" i="2"/>
  <c r="G301" i="3" s="1"/>
  <c r="D82" i="3"/>
  <c r="Q302" i="2" l="1"/>
  <c r="G320" i="2"/>
  <c r="S320" i="2" s="1"/>
  <c r="E304" i="2"/>
  <c r="F303" i="2"/>
  <c r="AG304" i="2"/>
  <c r="AI304" i="2" s="1"/>
  <c r="AA304" i="2"/>
  <c r="AC304" i="2" s="1"/>
  <c r="K321" i="2"/>
  <c r="I303" i="2"/>
  <c r="J302" i="2"/>
  <c r="O323" i="2"/>
  <c r="M303" i="2"/>
  <c r="N302" i="2"/>
  <c r="T317" i="2"/>
  <c r="R301" i="2"/>
  <c r="G302" i="3" s="1"/>
  <c r="X82" i="2"/>
  <c r="U82" i="2"/>
  <c r="Q303" i="2" l="1"/>
  <c r="G321" i="2"/>
  <c r="S321" i="2" s="1"/>
  <c r="E305" i="2"/>
  <c r="F304" i="2"/>
  <c r="AG305" i="2"/>
  <c r="AI305" i="2" s="1"/>
  <c r="AA305" i="2"/>
  <c r="AC305" i="2" s="1"/>
  <c r="K322" i="2"/>
  <c r="I304" i="2"/>
  <c r="J303" i="2"/>
  <c r="O324" i="2"/>
  <c r="M304" i="2"/>
  <c r="N303" i="2"/>
  <c r="T318" i="2"/>
  <c r="W82" i="2"/>
  <c r="V83" i="2"/>
  <c r="R302" i="2"/>
  <c r="G303" i="3" s="1"/>
  <c r="Q304" i="2" l="1"/>
  <c r="E83" i="3"/>
  <c r="F83" i="3"/>
  <c r="G322" i="2"/>
  <c r="S322" i="2" s="1"/>
  <c r="E306" i="2"/>
  <c r="F305" i="2"/>
  <c r="AG306" i="2"/>
  <c r="AI306" i="2" s="1"/>
  <c r="AA306" i="2"/>
  <c r="AC306" i="2" s="1"/>
  <c r="K323" i="2"/>
  <c r="I305" i="2"/>
  <c r="J304" i="2"/>
  <c r="O325" i="2"/>
  <c r="M305" i="2"/>
  <c r="N304" i="2"/>
  <c r="T319" i="2"/>
  <c r="R303" i="2"/>
  <c r="G304" i="3" s="1"/>
  <c r="Q305" i="2" l="1"/>
  <c r="G323" i="2"/>
  <c r="S323" i="2" s="1"/>
  <c r="E307" i="2"/>
  <c r="F306" i="2"/>
  <c r="AG307" i="2"/>
  <c r="AI307" i="2" s="1"/>
  <c r="AA307" i="2"/>
  <c r="AC307" i="2" s="1"/>
  <c r="K324" i="2"/>
  <c r="I306" i="2"/>
  <c r="J305" i="2"/>
  <c r="O326" i="2"/>
  <c r="M306" i="2"/>
  <c r="N305" i="2"/>
  <c r="T320" i="2"/>
  <c r="R304" i="2"/>
  <c r="G305" i="3" s="1"/>
  <c r="D83" i="3"/>
  <c r="Q306" i="2" l="1"/>
  <c r="F307" i="2"/>
  <c r="G324" i="2"/>
  <c r="S324" i="2" s="1"/>
  <c r="E308" i="2"/>
  <c r="AG308" i="2"/>
  <c r="AI308" i="2" s="1"/>
  <c r="AA308" i="2"/>
  <c r="AC308" i="2" s="1"/>
  <c r="I307" i="2"/>
  <c r="K325" i="2"/>
  <c r="J306" i="2"/>
  <c r="M307" i="2"/>
  <c r="O327" i="2"/>
  <c r="N306" i="2"/>
  <c r="T321" i="2"/>
  <c r="R305" i="2"/>
  <c r="G306" i="3" s="1"/>
  <c r="X83" i="2"/>
  <c r="U83" i="2"/>
  <c r="Q307" i="2" l="1"/>
  <c r="F308" i="2"/>
  <c r="E309" i="2"/>
  <c r="G325" i="2"/>
  <c r="S325" i="2" s="1"/>
  <c r="AG309" i="2"/>
  <c r="AI309" i="2" s="1"/>
  <c r="AA309" i="2"/>
  <c r="AC309" i="2" s="1"/>
  <c r="J307" i="2"/>
  <c r="K326" i="2"/>
  <c r="I308" i="2"/>
  <c r="O328" i="2"/>
  <c r="M308" i="2"/>
  <c r="N307" i="2"/>
  <c r="T322" i="2"/>
  <c r="W83" i="2"/>
  <c r="V84" i="2"/>
  <c r="R306" i="2"/>
  <c r="G307" i="3" s="1"/>
  <c r="Q308" i="2" l="1"/>
  <c r="E84" i="3"/>
  <c r="F84" i="3"/>
  <c r="G326" i="2"/>
  <c r="S326" i="2" s="1"/>
  <c r="E310" i="2"/>
  <c r="F309" i="2"/>
  <c r="AG310" i="2"/>
  <c r="AI310" i="2" s="1"/>
  <c r="AA310" i="2"/>
  <c r="AC310" i="2" s="1"/>
  <c r="J308" i="2"/>
  <c r="K327" i="2"/>
  <c r="I309" i="2"/>
  <c r="O329" i="2"/>
  <c r="N308" i="2"/>
  <c r="M309" i="2"/>
  <c r="T323" i="2"/>
  <c r="R307" i="2"/>
  <c r="G308" i="3" s="1"/>
  <c r="Q309" i="2" l="1"/>
  <c r="F310" i="2"/>
  <c r="G327" i="2"/>
  <c r="S327" i="2" s="1"/>
  <c r="E311" i="2"/>
  <c r="AG311" i="2"/>
  <c r="AI311" i="2" s="1"/>
  <c r="AA311" i="2"/>
  <c r="AC311" i="2" s="1"/>
  <c r="I310" i="2"/>
  <c r="K328" i="2"/>
  <c r="J309" i="2"/>
  <c r="O330" i="2"/>
  <c r="N309" i="2"/>
  <c r="M310" i="2"/>
  <c r="T324" i="2"/>
  <c r="R308" i="2"/>
  <c r="G309" i="3" s="1"/>
  <c r="D84" i="3"/>
  <c r="Q310" i="2" l="1"/>
  <c r="R309" i="2"/>
  <c r="G310" i="3" s="1"/>
  <c r="F311" i="2"/>
  <c r="G328" i="2"/>
  <c r="S328" i="2" s="1"/>
  <c r="E312" i="2"/>
  <c r="AG312" i="2"/>
  <c r="AI312" i="2" s="1"/>
  <c r="AA312" i="2"/>
  <c r="AC312" i="2" s="1"/>
  <c r="K329" i="2"/>
  <c r="J310" i="2"/>
  <c r="I311" i="2"/>
  <c r="N310" i="2"/>
  <c r="O331" i="2"/>
  <c r="M311" i="2"/>
  <c r="T325" i="2"/>
  <c r="X84" i="2"/>
  <c r="U84" i="2"/>
  <c r="Q311" i="2" l="1"/>
  <c r="T326" i="2"/>
  <c r="G329" i="2"/>
  <c r="S329" i="2" s="1"/>
  <c r="F312" i="2"/>
  <c r="E313" i="2"/>
  <c r="AG313" i="2"/>
  <c r="AI313" i="2" s="1"/>
  <c r="AA313" i="2"/>
  <c r="AC313" i="2" s="1"/>
  <c r="I312" i="2"/>
  <c r="K330" i="2"/>
  <c r="J311" i="2"/>
  <c r="N311" i="2"/>
  <c r="O332" i="2"/>
  <c r="M312" i="2"/>
  <c r="W84" i="2"/>
  <c r="V85" i="2"/>
  <c r="R310" i="2"/>
  <c r="G311" i="3" s="1"/>
  <c r="Q312" i="2" l="1"/>
  <c r="R311" i="2"/>
  <c r="E85" i="3"/>
  <c r="F85" i="3"/>
  <c r="E314" i="2"/>
  <c r="F313" i="2"/>
  <c r="G330" i="2"/>
  <c r="S330" i="2" s="1"/>
  <c r="AG314" i="2"/>
  <c r="AI314" i="2" s="1"/>
  <c r="AA314" i="2"/>
  <c r="AC314" i="2" s="1"/>
  <c r="K331" i="2"/>
  <c r="J312" i="2"/>
  <c r="I313" i="2"/>
  <c r="Q313" i="2" s="1"/>
  <c r="M313" i="2"/>
  <c r="N312" i="2"/>
  <c r="O333" i="2"/>
  <c r="T327" i="2"/>
  <c r="G312" i="3" l="1"/>
  <c r="T328" i="2"/>
  <c r="G331" i="2"/>
  <c r="S331" i="2" s="1"/>
  <c r="E315" i="2"/>
  <c r="F314" i="2"/>
  <c r="AG315" i="2"/>
  <c r="AI315" i="2" s="1"/>
  <c r="AA315" i="2"/>
  <c r="AC315" i="2" s="1"/>
  <c r="K332" i="2"/>
  <c r="I314" i="2"/>
  <c r="J313" i="2"/>
  <c r="M314" i="2"/>
  <c r="N313" i="2"/>
  <c r="O334" i="2"/>
  <c r="R312" i="2"/>
  <c r="G313" i="3" s="1"/>
  <c r="D85" i="3"/>
  <c r="R313" i="2" l="1"/>
  <c r="Q314" i="2"/>
  <c r="G332" i="2"/>
  <c r="S332" i="2" s="1"/>
  <c r="F315" i="2"/>
  <c r="E316" i="2"/>
  <c r="AG316" i="2"/>
  <c r="AI316" i="2" s="1"/>
  <c r="AA316" i="2"/>
  <c r="AC316" i="2" s="1"/>
  <c r="J314" i="2"/>
  <c r="K333" i="2"/>
  <c r="I315" i="2"/>
  <c r="O335" i="2"/>
  <c r="M315" i="2"/>
  <c r="N314" i="2"/>
  <c r="T329" i="2"/>
  <c r="X85" i="2"/>
  <c r="U85" i="2"/>
  <c r="Q315" i="2" l="1"/>
  <c r="G314" i="3"/>
  <c r="T330" i="2"/>
  <c r="G333" i="2"/>
  <c r="S333" i="2" s="1"/>
  <c r="F316" i="2"/>
  <c r="E317" i="2"/>
  <c r="AG317" i="2"/>
  <c r="AI317" i="2" s="1"/>
  <c r="AA317" i="2"/>
  <c r="AC317" i="2" s="1"/>
  <c r="K334" i="2"/>
  <c r="J315" i="2"/>
  <c r="I316" i="2"/>
  <c r="M316" i="2"/>
  <c r="N315" i="2"/>
  <c r="O336" i="2"/>
  <c r="W85" i="2"/>
  <c r="V86" i="2"/>
  <c r="R314" i="2"/>
  <c r="G315" i="3" s="1"/>
  <c r="Q316" i="2" l="1"/>
  <c r="E86" i="3"/>
  <c r="F86" i="3"/>
  <c r="Q317" i="2"/>
  <c r="E318" i="2"/>
  <c r="G334" i="2"/>
  <c r="S334" i="2" s="1"/>
  <c r="F317" i="2"/>
  <c r="AG318" i="2"/>
  <c r="AI318" i="2" s="1"/>
  <c r="AA318" i="2"/>
  <c r="AC318" i="2" s="1"/>
  <c r="K335" i="2"/>
  <c r="I317" i="2"/>
  <c r="J316" i="2"/>
  <c r="M317" i="2"/>
  <c r="O337" i="2"/>
  <c r="N316" i="2"/>
  <c r="T331" i="2"/>
  <c r="R315" i="2"/>
  <c r="G316" i="3" s="1"/>
  <c r="D86" i="3" l="1"/>
  <c r="G335" i="2"/>
  <c r="S335" i="2" s="1"/>
  <c r="F318" i="2"/>
  <c r="E319" i="2"/>
  <c r="AG319" i="2"/>
  <c r="AI319" i="2" s="1"/>
  <c r="AA319" i="2"/>
  <c r="AC319" i="2" s="1"/>
  <c r="K336" i="2"/>
  <c r="I318" i="2"/>
  <c r="J317" i="2"/>
  <c r="N317" i="2"/>
  <c r="M318" i="2"/>
  <c r="O338" i="2"/>
  <c r="T332" i="2"/>
  <c r="R316" i="2"/>
  <c r="G317" i="3" s="1"/>
  <c r="R317" i="2" l="1"/>
  <c r="Q318" i="2"/>
  <c r="U86" i="2"/>
  <c r="X86" i="2"/>
  <c r="G336" i="2"/>
  <c r="S336" i="2" s="1"/>
  <c r="E320" i="2"/>
  <c r="F319" i="2"/>
  <c r="AG320" i="2"/>
  <c r="AI320" i="2" s="1"/>
  <c r="AA320" i="2"/>
  <c r="AC320" i="2" s="1"/>
  <c r="J318" i="2"/>
  <c r="I319" i="2"/>
  <c r="K337" i="2"/>
  <c r="N318" i="2"/>
  <c r="M319" i="2"/>
  <c r="O339" i="2"/>
  <c r="T333" i="2"/>
  <c r="G318" i="3" l="1"/>
  <c r="T334" i="2"/>
  <c r="Q319" i="2"/>
  <c r="R318" i="2"/>
  <c r="W86" i="2"/>
  <c r="V87" i="2"/>
  <c r="G337" i="2"/>
  <c r="S337" i="2" s="1"/>
  <c r="E321" i="2"/>
  <c r="F320" i="2"/>
  <c r="AG321" i="2"/>
  <c r="AI321" i="2" s="1"/>
  <c r="AA321" i="2"/>
  <c r="AC321" i="2" s="1"/>
  <c r="K338" i="2"/>
  <c r="J319" i="2"/>
  <c r="I320" i="2"/>
  <c r="M320" i="2"/>
  <c r="O340" i="2"/>
  <c r="N319" i="2"/>
  <c r="G319" i="3" l="1"/>
  <c r="T335" i="2"/>
  <c r="R319" i="2"/>
  <c r="Q320" i="2"/>
  <c r="E87" i="3"/>
  <c r="F87" i="3"/>
  <c r="D87" i="3" s="1"/>
  <c r="E322" i="2"/>
  <c r="F321" i="2"/>
  <c r="G338" i="2"/>
  <c r="S338" i="2" s="1"/>
  <c r="AG322" i="2"/>
  <c r="AI322" i="2" s="1"/>
  <c r="AA322" i="2"/>
  <c r="AC322" i="2" s="1"/>
  <c r="J320" i="2"/>
  <c r="I321" i="2"/>
  <c r="K339" i="2"/>
  <c r="O341" i="2"/>
  <c r="N320" i="2"/>
  <c r="M321" i="2"/>
  <c r="Q321" i="2" l="1"/>
  <c r="G320" i="3"/>
  <c r="T336" i="2"/>
  <c r="X87" i="2"/>
  <c r="U87" i="2"/>
  <c r="R320" i="2"/>
  <c r="F322" i="2"/>
  <c r="G339" i="2"/>
  <c r="S339" i="2" s="1"/>
  <c r="E323" i="2"/>
  <c r="AG323" i="2"/>
  <c r="AI323" i="2" s="1"/>
  <c r="AA323" i="2"/>
  <c r="AC323" i="2" s="1"/>
  <c r="J321" i="2"/>
  <c r="K340" i="2"/>
  <c r="I322" i="2"/>
  <c r="N321" i="2"/>
  <c r="O342" i="2"/>
  <c r="M322" i="2"/>
  <c r="G321" i="3" l="1"/>
  <c r="T337" i="2"/>
  <c r="Q322" i="2"/>
  <c r="V88" i="2"/>
  <c r="W87" i="2"/>
  <c r="G340" i="2"/>
  <c r="S340" i="2" s="1"/>
  <c r="F323" i="2"/>
  <c r="E324" i="2"/>
  <c r="AG324" i="2"/>
  <c r="AI324" i="2" s="1"/>
  <c r="AA324" i="2"/>
  <c r="AC324" i="2" s="1"/>
  <c r="K341" i="2"/>
  <c r="J322" i="2"/>
  <c r="I323" i="2"/>
  <c r="N322" i="2"/>
  <c r="O343" i="2"/>
  <c r="M323" i="2"/>
  <c r="R321" i="2"/>
  <c r="G322" i="3" s="1"/>
  <c r="Q323" i="2" l="1"/>
  <c r="E88" i="3"/>
  <c r="F88" i="3"/>
  <c r="R322" i="2"/>
  <c r="E325" i="2"/>
  <c r="F324" i="2"/>
  <c r="G341" i="2"/>
  <c r="S341" i="2" s="1"/>
  <c r="AG325" i="2"/>
  <c r="AI325" i="2" s="1"/>
  <c r="AA325" i="2"/>
  <c r="AC325" i="2" s="1"/>
  <c r="I324" i="2"/>
  <c r="K342" i="2"/>
  <c r="J323" i="2"/>
  <c r="O344" i="2"/>
  <c r="N323" i="2"/>
  <c r="M324" i="2"/>
  <c r="T338" i="2"/>
  <c r="D88" i="3" l="1"/>
  <c r="X88" i="2" s="1"/>
  <c r="G323" i="3"/>
  <c r="T339" i="2"/>
  <c r="Q324" i="2"/>
  <c r="U88" i="2"/>
  <c r="R323" i="2"/>
  <c r="G324" i="3" s="1"/>
  <c r="G342" i="2"/>
  <c r="S342" i="2" s="1"/>
  <c r="F325" i="2"/>
  <c r="E326" i="2"/>
  <c r="AG326" i="2"/>
  <c r="AI326" i="2" s="1"/>
  <c r="AA326" i="2"/>
  <c r="AC326" i="2" s="1"/>
  <c r="J324" i="2"/>
  <c r="K343" i="2"/>
  <c r="I325" i="2"/>
  <c r="N324" i="2"/>
  <c r="M325" i="2"/>
  <c r="O345" i="2"/>
  <c r="R324" i="2" l="1"/>
  <c r="Q325" i="2"/>
  <c r="W88" i="2"/>
  <c r="V89" i="2"/>
  <c r="T340" i="2"/>
  <c r="E327" i="2"/>
  <c r="F326" i="2"/>
  <c r="G343" i="2"/>
  <c r="S343" i="2" s="1"/>
  <c r="AG327" i="2"/>
  <c r="AI327" i="2" s="1"/>
  <c r="AA327" i="2"/>
  <c r="AC327" i="2" s="1"/>
  <c r="I326" i="2"/>
  <c r="J325" i="2"/>
  <c r="K344" i="2"/>
  <c r="O346" i="2"/>
  <c r="N325" i="2"/>
  <c r="M326" i="2"/>
  <c r="Q326" i="2" l="1"/>
  <c r="G325" i="3"/>
  <c r="T341" i="2"/>
  <c r="E89" i="3"/>
  <c r="F89" i="3"/>
  <c r="D89" i="3" s="1"/>
  <c r="R325" i="2"/>
  <c r="G326" i="3" s="1"/>
  <c r="F327" i="2"/>
  <c r="G344" i="2"/>
  <c r="S344" i="2" s="1"/>
  <c r="E328" i="2"/>
  <c r="AG328" i="2"/>
  <c r="AI328" i="2" s="1"/>
  <c r="AA328" i="2"/>
  <c r="AC328" i="2" s="1"/>
  <c r="J326" i="2"/>
  <c r="I327" i="2"/>
  <c r="K345" i="2"/>
  <c r="N326" i="2"/>
  <c r="O347" i="2"/>
  <c r="M327" i="2"/>
  <c r="Q327" i="2" l="1"/>
  <c r="T342" i="2"/>
  <c r="F328" i="2"/>
  <c r="G345" i="2"/>
  <c r="S345" i="2" s="1"/>
  <c r="E329" i="2"/>
  <c r="AG329" i="2"/>
  <c r="AI329" i="2" s="1"/>
  <c r="AA329" i="2"/>
  <c r="AC329" i="2" s="1"/>
  <c r="K346" i="2"/>
  <c r="I328" i="2"/>
  <c r="J327" i="2"/>
  <c r="N327" i="2"/>
  <c r="O348" i="2"/>
  <c r="M328" i="2"/>
  <c r="R326" i="2"/>
  <c r="G327" i="3" s="1"/>
  <c r="X89" i="2"/>
  <c r="U89" i="2"/>
  <c r="Q328" i="2" l="1"/>
  <c r="R327" i="2"/>
  <c r="F329" i="2"/>
  <c r="G346" i="2"/>
  <c r="S346" i="2" s="1"/>
  <c r="E330" i="2"/>
  <c r="AG330" i="2"/>
  <c r="AI330" i="2" s="1"/>
  <c r="AA330" i="2"/>
  <c r="AC330" i="2" s="1"/>
  <c r="J328" i="2"/>
  <c r="I329" i="2"/>
  <c r="K347" i="2"/>
  <c r="O349" i="2"/>
  <c r="M329" i="2"/>
  <c r="N328" i="2"/>
  <c r="T343" i="2"/>
  <c r="W89" i="2"/>
  <c r="V90" i="2"/>
  <c r="G328" i="3" l="1"/>
  <c r="T344" i="2"/>
  <c r="Q329" i="2"/>
  <c r="E90" i="3"/>
  <c r="F90" i="3"/>
  <c r="F330" i="2"/>
  <c r="G347" i="2"/>
  <c r="S347" i="2" s="1"/>
  <c r="E331" i="2"/>
  <c r="AG331" i="2"/>
  <c r="AI331" i="2" s="1"/>
  <c r="AA331" i="2"/>
  <c r="AC331" i="2" s="1"/>
  <c r="J329" i="2"/>
  <c r="K348" i="2"/>
  <c r="I330" i="2"/>
  <c r="O350" i="2"/>
  <c r="M330" i="2"/>
  <c r="N329" i="2"/>
  <c r="R328" i="2"/>
  <c r="G329" i="3" s="1"/>
  <c r="Q330" i="2" l="1"/>
  <c r="E332" i="2"/>
  <c r="F331" i="2"/>
  <c r="G348" i="2"/>
  <c r="S348" i="2" s="1"/>
  <c r="AG332" i="2"/>
  <c r="AI332" i="2" s="1"/>
  <c r="AA332" i="2"/>
  <c r="AC332" i="2" s="1"/>
  <c r="K349" i="2"/>
  <c r="I331" i="2"/>
  <c r="J330" i="2"/>
  <c r="N330" i="2"/>
  <c r="M331" i="2"/>
  <c r="O351" i="2"/>
  <c r="T345" i="2"/>
  <c r="R329" i="2"/>
  <c r="G330" i="3" s="1"/>
  <c r="D90" i="3"/>
  <c r="Q331" i="2" l="1"/>
  <c r="G349" i="2"/>
  <c r="S349" i="2" s="1"/>
  <c r="F332" i="2"/>
  <c r="E333" i="2"/>
  <c r="AG333" i="2"/>
  <c r="AI333" i="2" s="1"/>
  <c r="AA333" i="2"/>
  <c r="AC333" i="2" s="1"/>
  <c r="J331" i="2"/>
  <c r="I332" i="2"/>
  <c r="K350" i="2"/>
  <c r="O352" i="2"/>
  <c r="N331" i="2"/>
  <c r="M332" i="2"/>
  <c r="T346" i="2"/>
  <c r="R330" i="2"/>
  <c r="G331" i="3" s="1"/>
  <c r="X90" i="2"/>
  <c r="U90" i="2"/>
  <c r="Q332" i="2" l="1"/>
  <c r="F333" i="2"/>
  <c r="G350" i="2"/>
  <c r="S350" i="2" s="1"/>
  <c r="E334" i="2"/>
  <c r="AG334" i="2"/>
  <c r="AI334" i="2" s="1"/>
  <c r="AA334" i="2"/>
  <c r="AC334" i="2" s="1"/>
  <c r="I333" i="2"/>
  <c r="K351" i="2"/>
  <c r="J332" i="2"/>
  <c r="N332" i="2"/>
  <c r="O353" i="2"/>
  <c r="M333" i="2"/>
  <c r="T347" i="2"/>
  <c r="W90" i="2"/>
  <c r="V91" i="2"/>
  <c r="R331" i="2"/>
  <c r="G332" i="3" s="1"/>
  <c r="Q333" i="2" l="1"/>
  <c r="E91" i="3"/>
  <c r="F91" i="3"/>
  <c r="F334" i="2"/>
  <c r="E335" i="2"/>
  <c r="G351" i="2"/>
  <c r="S351" i="2" s="1"/>
  <c r="AG335" i="2"/>
  <c r="AI335" i="2" s="1"/>
  <c r="AA335" i="2"/>
  <c r="AC335" i="2" s="1"/>
  <c r="J333" i="2"/>
  <c r="I334" i="2"/>
  <c r="K352" i="2"/>
  <c r="M334" i="2"/>
  <c r="N333" i="2"/>
  <c r="O354" i="2"/>
  <c r="T348" i="2"/>
  <c r="R332" i="2"/>
  <c r="G333" i="3" s="1"/>
  <c r="Q334" i="2" l="1"/>
  <c r="G352" i="2"/>
  <c r="S352" i="2" s="1"/>
  <c r="E336" i="2"/>
  <c r="F335" i="2"/>
  <c r="AG336" i="2"/>
  <c r="AI336" i="2" s="1"/>
  <c r="AA336" i="2"/>
  <c r="AC336" i="2" s="1"/>
  <c r="J334" i="2"/>
  <c r="K353" i="2"/>
  <c r="I335" i="2"/>
  <c r="N334" i="2"/>
  <c r="M335" i="2"/>
  <c r="O355" i="2"/>
  <c r="T349" i="2"/>
  <c r="R333" i="2"/>
  <c r="G334" i="3" s="1"/>
  <c r="D91" i="3"/>
  <c r="Q335" i="2" l="1"/>
  <c r="R334" i="2"/>
  <c r="E337" i="2"/>
  <c r="G353" i="2"/>
  <c r="S353" i="2" s="1"/>
  <c r="F336" i="2"/>
  <c r="AG337" i="2"/>
  <c r="AI337" i="2" s="1"/>
  <c r="AA337" i="2"/>
  <c r="AC337" i="2" s="1"/>
  <c r="I336" i="2"/>
  <c r="J335" i="2"/>
  <c r="K354" i="2"/>
  <c r="N335" i="2"/>
  <c r="O356" i="2"/>
  <c r="M336" i="2"/>
  <c r="T350" i="2"/>
  <c r="X91" i="2"/>
  <c r="U91" i="2"/>
  <c r="G335" i="3" l="1"/>
  <c r="T351" i="2"/>
  <c r="Q336" i="2"/>
  <c r="G354" i="2"/>
  <c r="S354" i="2" s="1"/>
  <c r="F337" i="2"/>
  <c r="E338" i="2"/>
  <c r="AG338" i="2"/>
  <c r="AI338" i="2" s="1"/>
  <c r="AA338" i="2"/>
  <c r="AC338" i="2" s="1"/>
  <c r="K355" i="2"/>
  <c r="J336" i="2"/>
  <c r="I337" i="2"/>
  <c r="O357" i="2"/>
  <c r="N336" i="2"/>
  <c r="M337" i="2"/>
  <c r="W91" i="2"/>
  <c r="V92" i="2"/>
  <c r="R335" i="2"/>
  <c r="G336" i="3" s="1"/>
  <c r="Q337" i="2" l="1"/>
  <c r="R336" i="2"/>
  <c r="G337" i="3" s="1"/>
  <c r="E92" i="3"/>
  <c r="F92" i="3"/>
  <c r="G355" i="2"/>
  <c r="S355" i="2" s="1"/>
  <c r="F338" i="2"/>
  <c r="E339" i="2"/>
  <c r="AG339" i="2"/>
  <c r="AI339" i="2" s="1"/>
  <c r="AA339" i="2"/>
  <c r="AC339" i="2" s="1"/>
  <c r="K356" i="2"/>
  <c r="I338" i="2"/>
  <c r="J337" i="2"/>
  <c r="O358" i="2"/>
  <c r="M338" i="2"/>
  <c r="N337" i="2"/>
  <c r="T352" i="2"/>
  <c r="T353" i="2" l="1"/>
  <c r="Q338" i="2"/>
  <c r="R337" i="2"/>
  <c r="G338" i="3" s="1"/>
  <c r="G356" i="2"/>
  <c r="S356" i="2" s="1"/>
  <c r="E340" i="2"/>
  <c r="F339" i="2"/>
  <c r="AG340" i="2"/>
  <c r="AI340" i="2" s="1"/>
  <c r="AA340" i="2"/>
  <c r="AC340" i="2" s="1"/>
  <c r="I339" i="2"/>
  <c r="J338" i="2"/>
  <c r="K357" i="2"/>
  <c r="N338" i="2"/>
  <c r="O359" i="2"/>
  <c r="M339" i="2"/>
  <c r="D92" i="3"/>
  <c r="Q339" i="2" l="1"/>
  <c r="T354" i="2"/>
  <c r="E341" i="2"/>
  <c r="F340" i="2"/>
  <c r="G357" i="2"/>
  <c r="S357" i="2" s="1"/>
  <c r="AG341" i="2"/>
  <c r="AI341" i="2" s="1"/>
  <c r="AA341" i="2"/>
  <c r="AC341" i="2" s="1"/>
  <c r="J339" i="2"/>
  <c r="K358" i="2"/>
  <c r="I340" i="2"/>
  <c r="M340" i="2"/>
  <c r="N339" i="2"/>
  <c r="O360" i="2"/>
  <c r="R338" i="2"/>
  <c r="G339" i="3" s="1"/>
  <c r="X92" i="2"/>
  <c r="U92" i="2"/>
  <c r="Q340" i="2" l="1"/>
  <c r="R339" i="2"/>
  <c r="F341" i="2"/>
  <c r="E342" i="2"/>
  <c r="G358" i="2"/>
  <c r="S358" i="2" s="1"/>
  <c r="AG342" i="2"/>
  <c r="AI342" i="2" s="1"/>
  <c r="AA342" i="2"/>
  <c r="AC342" i="2" s="1"/>
  <c r="J340" i="2"/>
  <c r="I341" i="2"/>
  <c r="K359" i="2"/>
  <c r="N340" i="2"/>
  <c r="O361" i="2"/>
  <c r="M341" i="2"/>
  <c r="T355" i="2"/>
  <c r="W92" i="2"/>
  <c r="V93" i="2"/>
  <c r="Q341" i="2" l="1"/>
  <c r="T356" i="2"/>
  <c r="G340" i="3"/>
  <c r="E93" i="3"/>
  <c r="F93" i="3"/>
  <c r="G359" i="2"/>
  <c r="S359" i="2" s="1"/>
  <c r="E343" i="2"/>
  <c r="F342" i="2"/>
  <c r="AG343" i="2"/>
  <c r="AI343" i="2" s="1"/>
  <c r="AA343" i="2"/>
  <c r="AC343" i="2" s="1"/>
  <c r="K360" i="2"/>
  <c r="J341" i="2"/>
  <c r="I342" i="2"/>
  <c r="N341" i="2"/>
  <c r="M342" i="2"/>
  <c r="O362" i="2"/>
  <c r="R340" i="2"/>
  <c r="G341" i="3" s="1"/>
  <c r="Q342" i="2" l="1"/>
  <c r="D93" i="3"/>
  <c r="E344" i="2"/>
  <c r="F343" i="2"/>
  <c r="G360" i="2"/>
  <c r="S360" i="2" s="1"/>
  <c r="AG344" i="2"/>
  <c r="AI344" i="2" s="1"/>
  <c r="AA344" i="2"/>
  <c r="AC344" i="2" s="1"/>
  <c r="J342" i="2"/>
  <c r="K361" i="2"/>
  <c r="I343" i="2"/>
  <c r="O363" i="2"/>
  <c r="M343" i="2"/>
  <c r="N342" i="2"/>
  <c r="T357" i="2"/>
  <c r="R341" i="2"/>
  <c r="G342" i="3" s="1"/>
  <c r="R342" i="2" l="1"/>
  <c r="G343" i="3" s="1"/>
  <c r="Q343" i="2"/>
  <c r="U93" i="2"/>
  <c r="X93" i="2"/>
  <c r="E345" i="2"/>
  <c r="G361" i="2"/>
  <c r="S361" i="2" s="1"/>
  <c r="F344" i="2"/>
  <c r="AG345" i="2"/>
  <c r="AI345" i="2" s="1"/>
  <c r="AA345" i="2"/>
  <c r="AC345" i="2" s="1"/>
  <c r="J343" i="2"/>
  <c r="K362" i="2"/>
  <c r="I344" i="2"/>
  <c r="N343" i="2"/>
  <c r="M344" i="2"/>
  <c r="O364" i="2"/>
  <c r="T358" i="2"/>
  <c r="Q344" i="2" l="1"/>
  <c r="T359" i="2"/>
  <c r="W93" i="2"/>
  <c r="E94" i="3" s="1"/>
  <c r="V94" i="2"/>
  <c r="G362" i="2"/>
  <c r="S362" i="2" s="1"/>
  <c r="E346" i="2"/>
  <c r="F345" i="2"/>
  <c r="AG346" i="2"/>
  <c r="AI346" i="2" s="1"/>
  <c r="AA346" i="2"/>
  <c r="AC346" i="2" s="1"/>
  <c r="J344" i="2"/>
  <c r="K363" i="2"/>
  <c r="I345" i="2"/>
  <c r="O365" i="2"/>
  <c r="M345" i="2"/>
  <c r="N344" i="2"/>
  <c r="R343" i="2"/>
  <c r="G344" i="3" s="1"/>
  <c r="Q345" i="2" l="1"/>
  <c r="F94" i="3"/>
  <c r="E347" i="2"/>
  <c r="F346" i="2"/>
  <c r="G363" i="2"/>
  <c r="S363" i="2" s="1"/>
  <c r="AG347" i="2"/>
  <c r="AI347" i="2" s="1"/>
  <c r="AA347" i="2"/>
  <c r="AC347" i="2" s="1"/>
  <c r="I346" i="2"/>
  <c r="J345" i="2"/>
  <c r="K364" i="2"/>
  <c r="M346" i="2"/>
  <c r="N345" i="2"/>
  <c r="O366" i="2"/>
  <c r="T360" i="2"/>
  <c r="R344" i="2"/>
  <c r="G345" i="3" s="1"/>
  <c r="Q346" i="2" l="1"/>
  <c r="D94" i="3"/>
  <c r="G364" i="2"/>
  <c r="S364" i="2" s="1"/>
  <c r="E348" i="2"/>
  <c r="F347" i="2"/>
  <c r="AG348" i="2"/>
  <c r="AI348" i="2" s="1"/>
  <c r="AA348" i="2"/>
  <c r="AC348" i="2" s="1"/>
  <c r="K365" i="2"/>
  <c r="I347" i="2"/>
  <c r="J346" i="2"/>
  <c r="N346" i="2"/>
  <c r="M347" i="2"/>
  <c r="O367" i="2"/>
  <c r="T361" i="2"/>
  <c r="R345" i="2"/>
  <c r="G346" i="3" s="1"/>
  <c r="Q347" i="2" l="1"/>
  <c r="X94" i="2"/>
  <c r="U94" i="2"/>
  <c r="F348" i="2"/>
  <c r="E349" i="2"/>
  <c r="G365" i="2"/>
  <c r="S365" i="2" s="1"/>
  <c r="AG349" i="2"/>
  <c r="AI349" i="2" s="1"/>
  <c r="AA349" i="2"/>
  <c r="AC349" i="2" s="1"/>
  <c r="I348" i="2"/>
  <c r="J347" i="2"/>
  <c r="K366" i="2"/>
  <c r="O368" i="2"/>
  <c r="N347" i="2"/>
  <c r="M348" i="2"/>
  <c r="T362" i="2"/>
  <c r="R346" i="2"/>
  <c r="G347" i="3" s="1"/>
  <c r="W94" i="2" l="1"/>
  <c r="E95" i="3" s="1"/>
  <c r="V95" i="2"/>
  <c r="Q348" i="2"/>
  <c r="G366" i="2"/>
  <c r="S366" i="2" s="1"/>
  <c r="E350" i="2"/>
  <c r="F349" i="2"/>
  <c r="AG350" i="2"/>
  <c r="AI350" i="2" s="1"/>
  <c r="AA350" i="2"/>
  <c r="AC350" i="2" s="1"/>
  <c r="K367" i="2"/>
  <c r="I349" i="2"/>
  <c r="J348" i="2"/>
  <c r="O369" i="2"/>
  <c r="N348" i="2"/>
  <c r="M349" i="2"/>
  <c r="T363" i="2"/>
  <c r="R347" i="2"/>
  <c r="G348" i="3" s="1"/>
  <c r="F95" i="3" l="1"/>
  <c r="D95" i="3" s="1"/>
  <c r="Q349" i="2"/>
  <c r="E351" i="2"/>
  <c r="F350" i="2"/>
  <c r="G367" i="2"/>
  <c r="S367" i="2" s="1"/>
  <c r="AG351" i="2"/>
  <c r="AI351" i="2" s="1"/>
  <c r="AA351" i="2"/>
  <c r="AC351" i="2" s="1"/>
  <c r="K368" i="2"/>
  <c r="I350" i="2"/>
  <c r="J349" i="2"/>
  <c r="N349" i="2"/>
  <c r="O370" i="2"/>
  <c r="M350" i="2"/>
  <c r="T364" i="2"/>
  <c r="R348" i="2"/>
  <c r="G349" i="3" s="1"/>
  <c r="Q350" i="2" l="1"/>
  <c r="X95" i="2"/>
  <c r="U95" i="2"/>
  <c r="G368" i="2"/>
  <c r="S368" i="2" s="1"/>
  <c r="E352" i="2"/>
  <c r="F351" i="2"/>
  <c r="AG352" i="2"/>
  <c r="AI352" i="2" s="1"/>
  <c r="AA352" i="2"/>
  <c r="AC352" i="2" s="1"/>
  <c r="I351" i="2"/>
  <c r="J350" i="2"/>
  <c r="K369" i="2"/>
  <c r="M351" i="2"/>
  <c r="N350" i="2"/>
  <c r="O371" i="2"/>
  <c r="T365" i="2"/>
  <c r="R349" i="2"/>
  <c r="G350" i="3" s="1"/>
  <c r="Q351" i="2" l="1"/>
  <c r="W95" i="2"/>
  <c r="V96" i="2"/>
  <c r="F96" i="3"/>
  <c r="F352" i="2"/>
  <c r="G369" i="2"/>
  <c r="S369" i="2" s="1"/>
  <c r="E353" i="2"/>
  <c r="AG353" i="2"/>
  <c r="AI353" i="2" s="1"/>
  <c r="AA353" i="2"/>
  <c r="AC353" i="2" s="1"/>
  <c r="K370" i="2"/>
  <c r="I352" i="2"/>
  <c r="J351" i="2"/>
  <c r="O372" i="2"/>
  <c r="M352" i="2"/>
  <c r="N351" i="2"/>
  <c r="T366" i="2"/>
  <c r="R350" i="2"/>
  <c r="G351" i="3" s="1"/>
  <c r="E96" i="3" l="1"/>
  <c r="Q352" i="2"/>
  <c r="G370" i="2"/>
  <c r="S370" i="2" s="1"/>
  <c r="E354" i="2"/>
  <c r="F353" i="2"/>
  <c r="AG354" i="2"/>
  <c r="AI354" i="2" s="1"/>
  <c r="AA354" i="2"/>
  <c r="AC354" i="2" s="1"/>
  <c r="J352" i="2"/>
  <c r="K371" i="2"/>
  <c r="I353" i="2"/>
  <c r="N352" i="2"/>
  <c r="O373" i="2"/>
  <c r="M353" i="2"/>
  <c r="T367" i="2"/>
  <c r="R351" i="2"/>
  <c r="G352" i="3" s="1"/>
  <c r="D96" i="3" l="1"/>
  <c r="Q353" i="2"/>
  <c r="G371" i="2"/>
  <c r="S371" i="2" s="1"/>
  <c r="E355" i="2"/>
  <c r="F354" i="2"/>
  <c r="AG355" i="2"/>
  <c r="AI355" i="2" s="1"/>
  <c r="AA355" i="2"/>
  <c r="AC355" i="2" s="1"/>
  <c r="K372" i="2"/>
  <c r="I354" i="2"/>
  <c r="J353" i="2"/>
  <c r="O374" i="2"/>
  <c r="M354" i="2"/>
  <c r="N353" i="2"/>
  <c r="T368" i="2"/>
  <c r="R352" i="2"/>
  <c r="G353" i="3" s="1"/>
  <c r="R353" i="2" l="1"/>
  <c r="G354" i="3" s="1"/>
  <c r="Q354" i="2"/>
  <c r="X96" i="2"/>
  <c r="U96" i="2"/>
  <c r="G372" i="2"/>
  <c r="S372" i="2" s="1"/>
  <c r="E356" i="2"/>
  <c r="F355" i="2"/>
  <c r="AG356" i="2"/>
  <c r="AI356" i="2" s="1"/>
  <c r="AA356" i="2"/>
  <c r="AC356" i="2" s="1"/>
  <c r="K373" i="2"/>
  <c r="I355" i="2"/>
  <c r="J354" i="2"/>
  <c r="O375" i="2"/>
  <c r="M355" i="2"/>
  <c r="N354" i="2"/>
  <c r="T369" i="2"/>
  <c r="T370" i="2"/>
  <c r="W96" i="2" l="1"/>
  <c r="E97" i="3" s="1"/>
  <c r="V97" i="2"/>
  <c r="Q355" i="2"/>
  <c r="F97" i="3"/>
  <c r="G373" i="2"/>
  <c r="S373" i="2" s="1"/>
  <c r="E357" i="2"/>
  <c r="F356" i="2"/>
  <c r="AG357" i="2"/>
  <c r="AI357" i="2" s="1"/>
  <c r="AA357" i="2"/>
  <c r="AC357" i="2" s="1"/>
  <c r="K374" i="2"/>
  <c r="I356" i="2"/>
  <c r="J355" i="2"/>
  <c r="O376" i="2"/>
  <c r="M356" i="2"/>
  <c r="N355" i="2"/>
  <c r="R354" i="2"/>
  <c r="G355" i="3" s="1"/>
  <c r="Q356" i="2" l="1"/>
  <c r="R355" i="2"/>
  <c r="G374" i="2"/>
  <c r="S374" i="2" s="1"/>
  <c r="E358" i="2"/>
  <c r="F357" i="2"/>
  <c r="AG358" i="2"/>
  <c r="AI358" i="2" s="1"/>
  <c r="AA358" i="2"/>
  <c r="AC358" i="2" s="1"/>
  <c r="K375" i="2"/>
  <c r="I357" i="2"/>
  <c r="J356" i="2"/>
  <c r="O377" i="2"/>
  <c r="M357" i="2"/>
  <c r="N356" i="2"/>
  <c r="T371" i="2"/>
  <c r="D97" i="3"/>
  <c r="Q357" i="2" l="1"/>
  <c r="T372" i="2"/>
  <c r="G356" i="3"/>
  <c r="G375" i="2"/>
  <c r="S375" i="2" s="1"/>
  <c r="E359" i="2"/>
  <c r="F358" i="2"/>
  <c r="AG359" i="2"/>
  <c r="AI359" i="2" s="1"/>
  <c r="AA359" i="2"/>
  <c r="AC359" i="2" s="1"/>
  <c r="K376" i="2"/>
  <c r="I358" i="2"/>
  <c r="J357" i="2"/>
  <c r="O378" i="2"/>
  <c r="M358" i="2"/>
  <c r="N357" i="2"/>
  <c r="R356" i="2"/>
  <c r="G357" i="3" s="1"/>
  <c r="X97" i="2"/>
  <c r="U97" i="2"/>
  <c r="Q358" i="2" l="1"/>
  <c r="G376" i="2"/>
  <c r="S376" i="2" s="1"/>
  <c r="E360" i="2"/>
  <c r="F359" i="2"/>
  <c r="AG360" i="2"/>
  <c r="AI360" i="2" s="1"/>
  <c r="AA360" i="2"/>
  <c r="AC360" i="2" s="1"/>
  <c r="K377" i="2"/>
  <c r="I359" i="2"/>
  <c r="J358" i="2"/>
  <c r="O379" i="2"/>
  <c r="M359" i="2"/>
  <c r="N358" i="2"/>
  <c r="T373" i="2"/>
  <c r="W97" i="2"/>
  <c r="V98" i="2"/>
  <c r="R357" i="2"/>
  <c r="G358" i="3" s="1"/>
  <c r="Q359" i="2" l="1"/>
  <c r="E98" i="3"/>
  <c r="F98" i="3"/>
  <c r="G377" i="2"/>
  <c r="S377" i="2" s="1"/>
  <c r="E361" i="2"/>
  <c r="F360" i="2"/>
  <c r="AG361" i="2"/>
  <c r="AI361" i="2" s="1"/>
  <c r="AA361" i="2"/>
  <c r="AC361" i="2" s="1"/>
  <c r="K378" i="2"/>
  <c r="I360" i="2"/>
  <c r="J359" i="2"/>
  <c r="O380" i="2"/>
  <c r="M360" i="2"/>
  <c r="N359" i="2"/>
  <c r="T374" i="2"/>
  <c r="R358" i="2"/>
  <c r="G359" i="3" s="1"/>
  <c r="Q360" i="2" l="1"/>
  <c r="G378" i="2"/>
  <c r="S378" i="2" s="1"/>
  <c r="E362" i="2"/>
  <c r="F361" i="2"/>
  <c r="AG362" i="2"/>
  <c r="AI362" i="2" s="1"/>
  <c r="AA362" i="2"/>
  <c r="AC362" i="2" s="1"/>
  <c r="K379" i="2"/>
  <c r="I361" i="2"/>
  <c r="J360" i="2"/>
  <c r="O381" i="2"/>
  <c r="M361" i="2"/>
  <c r="N360" i="2"/>
  <c r="T375" i="2"/>
  <c r="R359" i="2"/>
  <c r="G360" i="3" s="1"/>
  <c r="D98" i="3"/>
  <c r="Q361" i="2" l="1"/>
  <c r="G379" i="2"/>
  <c r="S379" i="2" s="1"/>
  <c r="E363" i="2"/>
  <c r="F362" i="2"/>
  <c r="AG363" i="2"/>
  <c r="AI363" i="2" s="1"/>
  <c r="AA363" i="2"/>
  <c r="AC363" i="2" s="1"/>
  <c r="K380" i="2"/>
  <c r="I362" i="2"/>
  <c r="J361" i="2"/>
  <c r="O382" i="2"/>
  <c r="M362" i="2"/>
  <c r="N361" i="2"/>
  <c r="T376" i="2"/>
  <c r="R360" i="2"/>
  <c r="G361" i="3" s="1"/>
  <c r="X98" i="2"/>
  <c r="U98" i="2"/>
  <c r="Q362" i="2" l="1"/>
  <c r="G380" i="2"/>
  <c r="S380" i="2" s="1"/>
  <c r="E364" i="2"/>
  <c r="F363" i="2"/>
  <c r="AG364" i="2"/>
  <c r="AI364" i="2" s="1"/>
  <c r="AA364" i="2"/>
  <c r="AC364" i="2" s="1"/>
  <c r="K381" i="2"/>
  <c r="I363" i="2"/>
  <c r="J362" i="2"/>
  <c r="O383" i="2"/>
  <c r="M363" i="2"/>
  <c r="N362" i="2"/>
  <c r="T377" i="2"/>
  <c r="W98" i="2"/>
  <c r="V99" i="2"/>
  <c r="R361" i="2"/>
  <c r="G362" i="3" s="1"/>
  <c r="Q363" i="2" l="1"/>
  <c r="E99" i="3"/>
  <c r="F99" i="3"/>
  <c r="G381" i="2"/>
  <c r="S381" i="2" s="1"/>
  <c r="E365" i="2"/>
  <c r="F364" i="2"/>
  <c r="AG365" i="2"/>
  <c r="AI365" i="2" s="1"/>
  <c r="AA365" i="2"/>
  <c r="AC365" i="2" s="1"/>
  <c r="K382" i="2"/>
  <c r="I364" i="2"/>
  <c r="J363" i="2"/>
  <c r="O384" i="2"/>
  <c r="M364" i="2"/>
  <c r="N363" i="2"/>
  <c r="T378" i="2"/>
  <c r="R362" i="2"/>
  <c r="G363" i="3" s="1"/>
  <c r="Q364" i="2" l="1"/>
  <c r="G382" i="2"/>
  <c r="S382" i="2" s="1"/>
  <c r="E366" i="2"/>
  <c r="F365" i="2"/>
  <c r="AG366" i="2"/>
  <c r="AI366" i="2" s="1"/>
  <c r="AA366" i="2"/>
  <c r="AC366" i="2" s="1"/>
  <c r="K383" i="2"/>
  <c r="I365" i="2"/>
  <c r="J364" i="2"/>
  <c r="O385" i="2"/>
  <c r="M365" i="2"/>
  <c r="N364" i="2"/>
  <c r="T379" i="2"/>
  <c r="R363" i="2"/>
  <c r="G364" i="3" s="1"/>
  <c r="D99" i="3"/>
  <c r="Q365" i="2" l="1"/>
  <c r="G383" i="2"/>
  <c r="S383" i="2" s="1"/>
  <c r="E367" i="2"/>
  <c r="F366" i="2"/>
  <c r="AG367" i="2"/>
  <c r="AI367" i="2" s="1"/>
  <c r="AA367" i="2"/>
  <c r="AC367" i="2" s="1"/>
  <c r="K384" i="2"/>
  <c r="I366" i="2"/>
  <c r="J365" i="2"/>
  <c r="O386" i="2"/>
  <c r="M366" i="2"/>
  <c r="N365" i="2"/>
  <c r="T380" i="2"/>
  <c r="R364" i="2"/>
  <c r="G365" i="3" s="1"/>
  <c r="X99" i="2"/>
  <c r="U99" i="2"/>
  <c r="Q366" i="2" l="1"/>
  <c r="G384" i="2"/>
  <c r="S384" i="2" s="1"/>
  <c r="E368" i="2"/>
  <c r="F367" i="2"/>
  <c r="AG368" i="2"/>
  <c r="AI368" i="2" s="1"/>
  <c r="AA368" i="2"/>
  <c r="AC368" i="2" s="1"/>
  <c r="K385" i="2"/>
  <c r="I367" i="2"/>
  <c r="J366" i="2"/>
  <c r="O387" i="2"/>
  <c r="M367" i="2"/>
  <c r="N366" i="2"/>
  <c r="T381" i="2"/>
  <c r="W99" i="2"/>
  <c r="V100" i="2"/>
  <c r="R365" i="2"/>
  <c r="G366" i="3" s="1"/>
  <c r="Q367" i="2" l="1"/>
  <c r="E100" i="3"/>
  <c r="F100" i="3"/>
  <c r="G385" i="2"/>
  <c r="S385" i="2" s="1"/>
  <c r="E369" i="2"/>
  <c r="F368" i="2"/>
  <c r="AG369" i="2"/>
  <c r="AI369" i="2" s="1"/>
  <c r="AA369" i="2"/>
  <c r="AC369" i="2" s="1"/>
  <c r="K386" i="2"/>
  <c r="I368" i="2"/>
  <c r="J367" i="2"/>
  <c r="O388" i="2"/>
  <c r="M368" i="2"/>
  <c r="Q368" i="2" s="1"/>
  <c r="N367" i="2"/>
  <c r="T382" i="2"/>
  <c r="R366" i="2"/>
  <c r="G367" i="3" s="1"/>
  <c r="D100" i="3" l="1"/>
  <c r="G386" i="2"/>
  <c r="S386" i="2" s="1"/>
  <c r="E370" i="2"/>
  <c r="F369" i="2"/>
  <c r="AG370" i="2"/>
  <c r="AI370" i="2" s="1"/>
  <c r="AA370" i="2"/>
  <c r="AC370" i="2" s="1"/>
  <c r="K387" i="2"/>
  <c r="I369" i="2"/>
  <c r="J368" i="2"/>
  <c r="O389" i="2"/>
  <c r="M369" i="2"/>
  <c r="N368" i="2"/>
  <c r="T383" i="2"/>
  <c r="R367" i="2"/>
  <c r="G368" i="3" s="1"/>
  <c r="Q369" i="2" l="1"/>
  <c r="U100" i="2"/>
  <c r="X100" i="2"/>
  <c r="G387" i="2"/>
  <c r="S387" i="2" s="1"/>
  <c r="E371" i="2"/>
  <c r="F370" i="2"/>
  <c r="AG371" i="2"/>
  <c r="AI371" i="2" s="1"/>
  <c r="AA371" i="2"/>
  <c r="AC371" i="2" s="1"/>
  <c r="K388" i="2"/>
  <c r="I370" i="2"/>
  <c r="J369" i="2"/>
  <c r="O390" i="2"/>
  <c r="M370" i="2"/>
  <c r="N369" i="2"/>
  <c r="T384" i="2"/>
  <c r="R368" i="2"/>
  <c r="G369" i="3" s="1"/>
  <c r="Q370" i="2" l="1"/>
  <c r="V101" i="2"/>
  <c r="W100" i="2"/>
  <c r="G388" i="2"/>
  <c r="S388" i="2" s="1"/>
  <c r="E372" i="2"/>
  <c r="F371" i="2"/>
  <c r="AG372" i="2"/>
  <c r="AI372" i="2" s="1"/>
  <c r="AA372" i="2"/>
  <c r="AC372" i="2" s="1"/>
  <c r="K389" i="2"/>
  <c r="I371" i="2"/>
  <c r="J370" i="2"/>
  <c r="O391" i="2"/>
  <c r="M371" i="2"/>
  <c r="N370" i="2"/>
  <c r="T385" i="2"/>
  <c r="R369" i="2"/>
  <c r="G370" i="3" s="1"/>
  <c r="Q371" i="2" l="1"/>
  <c r="F101" i="3"/>
  <c r="E101" i="3"/>
  <c r="G389" i="2"/>
  <c r="S389" i="2" s="1"/>
  <c r="E373" i="2"/>
  <c r="F372" i="2"/>
  <c r="AG373" i="2"/>
  <c r="AI373" i="2" s="1"/>
  <c r="AA373" i="2"/>
  <c r="AC373" i="2" s="1"/>
  <c r="K390" i="2"/>
  <c r="I372" i="2"/>
  <c r="J371" i="2"/>
  <c r="O392" i="2"/>
  <c r="M372" i="2"/>
  <c r="N371" i="2"/>
  <c r="T386" i="2"/>
  <c r="R370" i="2"/>
  <c r="G371" i="3" s="1"/>
  <c r="D101" i="3" l="1"/>
  <c r="Q372" i="2"/>
  <c r="G390" i="2"/>
  <c r="S390" i="2" s="1"/>
  <c r="E374" i="2"/>
  <c r="F373" i="2"/>
  <c r="AG374" i="2"/>
  <c r="AI374" i="2" s="1"/>
  <c r="AA374" i="2"/>
  <c r="AC374" i="2" s="1"/>
  <c r="K391" i="2"/>
  <c r="I373" i="2"/>
  <c r="J372" i="2"/>
  <c r="O393" i="2"/>
  <c r="M373" i="2"/>
  <c r="N372" i="2"/>
  <c r="T387" i="2"/>
  <c r="R371" i="2"/>
  <c r="G372" i="3" s="1"/>
  <c r="X101" i="2" l="1"/>
  <c r="U101" i="2"/>
  <c r="Q373" i="2"/>
  <c r="G391" i="2"/>
  <c r="S391" i="2" s="1"/>
  <c r="E375" i="2"/>
  <c r="F374" i="2"/>
  <c r="AG375" i="2"/>
  <c r="AI375" i="2" s="1"/>
  <c r="AA375" i="2"/>
  <c r="AC375" i="2" s="1"/>
  <c r="K392" i="2"/>
  <c r="I374" i="2"/>
  <c r="J373" i="2"/>
  <c r="O394" i="2"/>
  <c r="M374" i="2"/>
  <c r="N373" i="2"/>
  <c r="T388" i="2"/>
  <c r="R372" i="2"/>
  <c r="G373" i="3" s="1"/>
  <c r="W101" i="2" l="1"/>
  <c r="V102" i="2"/>
  <c r="R373" i="2"/>
  <c r="Q374" i="2"/>
  <c r="G392" i="2"/>
  <c r="S392" i="2" s="1"/>
  <c r="E376" i="2"/>
  <c r="F375" i="2"/>
  <c r="AG376" i="2"/>
  <c r="AI376" i="2" s="1"/>
  <c r="AA376" i="2"/>
  <c r="AC376" i="2" s="1"/>
  <c r="K393" i="2"/>
  <c r="I375" i="2"/>
  <c r="J374" i="2"/>
  <c r="O395" i="2"/>
  <c r="M375" i="2"/>
  <c r="N374" i="2"/>
  <c r="T389" i="2"/>
  <c r="F102" i="3" l="1"/>
  <c r="E102" i="3"/>
  <c r="Q375" i="2"/>
  <c r="G374" i="3"/>
  <c r="T390" i="2"/>
  <c r="G393" i="2"/>
  <c r="S393" i="2" s="1"/>
  <c r="E377" i="2"/>
  <c r="F376" i="2"/>
  <c r="AG377" i="2"/>
  <c r="AI377" i="2" s="1"/>
  <c r="AA377" i="2"/>
  <c r="AC377" i="2" s="1"/>
  <c r="K394" i="2"/>
  <c r="I376" i="2"/>
  <c r="Q376" i="2" s="1"/>
  <c r="J375" i="2"/>
  <c r="O396" i="2"/>
  <c r="M376" i="2"/>
  <c r="N375" i="2"/>
  <c r="R374" i="2"/>
  <c r="G375" i="3" s="1"/>
  <c r="D102" i="3" l="1"/>
  <c r="G394" i="2"/>
  <c r="S394" i="2" s="1"/>
  <c r="E378" i="2"/>
  <c r="F377" i="2"/>
  <c r="AG378" i="2"/>
  <c r="AI378" i="2" s="1"/>
  <c r="AA378" i="2"/>
  <c r="AC378" i="2" s="1"/>
  <c r="K395" i="2"/>
  <c r="I377" i="2"/>
  <c r="J376" i="2"/>
  <c r="O397" i="2"/>
  <c r="M377" i="2"/>
  <c r="N376" i="2"/>
  <c r="T391" i="2"/>
  <c r="R375" i="2"/>
  <c r="G376" i="3" s="1"/>
  <c r="U102" i="2" l="1"/>
  <c r="X102" i="2"/>
  <c r="Q377" i="2"/>
  <c r="G395" i="2"/>
  <c r="S395" i="2" s="1"/>
  <c r="F378" i="2"/>
  <c r="AG379" i="2"/>
  <c r="AI379" i="2" s="1"/>
  <c r="AA379" i="2"/>
  <c r="AC379" i="2" s="1"/>
  <c r="K396" i="2"/>
  <c r="S396" i="2" s="1"/>
  <c r="I378" i="2"/>
  <c r="J377" i="2"/>
  <c r="O398" i="2"/>
  <c r="S398" i="2" s="1"/>
  <c r="M378" i="2"/>
  <c r="N377" i="2"/>
  <c r="T392" i="2"/>
  <c r="R376" i="2"/>
  <c r="G377" i="3" s="1"/>
  <c r="V103" i="2" l="1"/>
  <c r="W102" i="2"/>
  <c r="E103" i="3" s="1"/>
  <c r="Q378" i="2"/>
  <c r="F103" i="3"/>
  <c r="AG380" i="2"/>
  <c r="AI380" i="2" s="1"/>
  <c r="AA380" i="2"/>
  <c r="AC380" i="2" s="1"/>
  <c r="T396" i="2"/>
  <c r="K397" i="2"/>
  <c r="S397" i="2" s="1"/>
  <c r="J378" i="2"/>
  <c r="T398" i="2"/>
  <c r="O399" i="2"/>
  <c r="S399" i="2" s="1"/>
  <c r="N378" i="2"/>
  <c r="T393" i="2"/>
  <c r="R377" i="2"/>
  <c r="G378" i="3" s="1"/>
  <c r="R378" i="2" l="1"/>
  <c r="G379" i="3" s="1"/>
  <c r="AG381" i="2"/>
  <c r="AI381" i="2" s="1"/>
  <c r="AA381" i="2"/>
  <c r="AC381" i="2" s="1"/>
  <c r="T397" i="2"/>
  <c r="T399" i="2"/>
  <c r="T394" i="2"/>
  <c r="D103" i="3"/>
  <c r="T395" i="2" l="1"/>
  <c r="AG382" i="2"/>
  <c r="AI382" i="2" s="1"/>
  <c r="AA382" i="2"/>
  <c r="AC382" i="2" s="1"/>
  <c r="X103" i="2"/>
  <c r="U103" i="2"/>
  <c r="AG383" i="2" l="1"/>
  <c r="AI383" i="2" s="1"/>
  <c r="AA383" i="2"/>
  <c r="AC383" i="2" s="1"/>
  <c r="W103" i="2"/>
  <c r="V104" i="2"/>
  <c r="E104" i="3" l="1"/>
  <c r="F104" i="3"/>
  <c r="AG384" i="2"/>
  <c r="AI384" i="2" s="1"/>
  <c r="AA384" i="2"/>
  <c r="AC384" i="2" s="1"/>
  <c r="AG385" i="2" l="1"/>
  <c r="AI385" i="2" s="1"/>
  <c r="AA385" i="2"/>
  <c r="AC385" i="2" s="1"/>
  <c r="D104" i="3"/>
  <c r="AG386" i="2" l="1"/>
  <c r="AI386" i="2" s="1"/>
  <c r="AA386" i="2"/>
  <c r="AC386" i="2" s="1"/>
  <c r="X104" i="2"/>
  <c r="U104" i="2"/>
  <c r="AG387" i="2" l="1"/>
  <c r="AI387" i="2" s="1"/>
  <c r="AA387" i="2"/>
  <c r="AC387" i="2" s="1"/>
  <c r="W104" i="2"/>
  <c r="V105" i="2"/>
  <c r="E105" i="3" l="1"/>
  <c r="F105" i="3"/>
  <c r="AG388" i="2"/>
  <c r="AI388" i="2" s="1"/>
  <c r="AA388" i="2"/>
  <c r="AC388" i="2" s="1"/>
  <c r="AG389" i="2" l="1"/>
  <c r="AI389" i="2" s="1"/>
  <c r="AA389" i="2"/>
  <c r="AC389" i="2" s="1"/>
  <c r="D105" i="3"/>
  <c r="AG390" i="2" l="1"/>
  <c r="AI390" i="2" s="1"/>
  <c r="AA390" i="2"/>
  <c r="AC390" i="2" s="1"/>
  <c r="X105" i="2"/>
  <c r="U105" i="2"/>
  <c r="AG391" i="2" l="1"/>
  <c r="AI391" i="2" s="1"/>
  <c r="AA391" i="2"/>
  <c r="AC391" i="2" s="1"/>
  <c r="W105" i="2"/>
  <c r="V106" i="2"/>
  <c r="E106" i="3" l="1"/>
  <c r="F106" i="3"/>
  <c r="AG392" i="2"/>
  <c r="AI392" i="2" s="1"/>
  <c r="AA392" i="2"/>
  <c r="AC392" i="2" s="1"/>
  <c r="AG393" i="2" l="1"/>
  <c r="AI393" i="2" s="1"/>
  <c r="AA393" i="2"/>
  <c r="AC393" i="2" s="1"/>
  <c r="D106" i="3"/>
  <c r="AG394" i="2" l="1"/>
  <c r="AI394" i="2" s="1"/>
  <c r="AA394" i="2"/>
  <c r="AC394" i="2" s="1"/>
  <c r="X106" i="2"/>
  <c r="U106" i="2"/>
  <c r="AG395" i="2" l="1"/>
  <c r="AI395" i="2" s="1"/>
  <c r="AA395" i="2"/>
  <c r="AC395" i="2" s="1"/>
  <c r="W106" i="2"/>
  <c r="V107" i="2"/>
  <c r="E107" i="3" l="1"/>
  <c r="F107" i="3"/>
  <c r="AG396" i="2"/>
  <c r="AI396" i="2" s="1"/>
  <c r="AA396" i="2"/>
  <c r="AC396" i="2" s="1"/>
  <c r="AG397" i="2" l="1"/>
  <c r="AI397" i="2" s="1"/>
  <c r="AA397" i="2"/>
  <c r="AC397" i="2" s="1"/>
  <c r="D107" i="3"/>
  <c r="AG398" i="2" l="1"/>
  <c r="AI398" i="2" s="1"/>
  <c r="AA398" i="2"/>
  <c r="AC398" i="2" s="1"/>
  <c r="X107" i="2"/>
  <c r="U107" i="2"/>
  <c r="AG399" i="2" l="1"/>
  <c r="AI399" i="2" s="1"/>
  <c r="AH399" i="2" s="1"/>
  <c r="AJ399" i="2" s="1"/>
  <c r="AA399" i="2"/>
  <c r="AC399" i="2" s="1"/>
  <c r="AB399" i="2" s="1"/>
  <c r="AD399" i="2" s="1"/>
  <c r="W107" i="2"/>
  <c r="V108" i="2"/>
  <c r="AJ2" i="2" l="1"/>
  <c r="C6" i="1" s="1"/>
  <c r="D6" i="1" s="1"/>
  <c r="E6" i="1"/>
  <c r="E5" i="1"/>
  <c r="AD2" i="2"/>
  <c r="C5" i="1" s="1"/>
  <c r="D5" i="1" s="1"/>
  <c r="E108" i="3"/>
  <c r="F108" i="3"/>
  <c r="D108" i="3" l="1"/>
  <c r="X108" i="2" l="1"/>
  <c r="U108" i="2"/>
  <c r="W108" i="2" l="1"/>
  <c r="V109" i="2"/>
  <c r="E109" i="3" l="1"/>
  <c r="F109" i="3"/>
  <c r="D109" i="3" l="1"/>
  <c r="X109" i="2" l="1"/>
  <c r="U109" i="2"/>
  <c r="V110" i="2" l="1"/>
  <c r="W109" i="2"/>
  <c r="E110" i="3" l="1"/>
  <c r="F110" i="3"/>
  <c r="D110" i="3" l="1"/>
  <c r="X110" i="2" l="1"/>
  <c r="U110" i="2"/>
  <c r="W110" i="2" l="1"/>
  <c r="V111" i="2"/>
  <c r="F111" i="3" l="1"/>
  <c r="E111" i="3"/>
  <c r="D111" i="3" l="1"/>
  <c r="X111" i="2"/>
  <c r="U111" i="2"/>
  <c r="W111" i="2" l="1"/>
  <c r="V112" i="2"/>
  <c r="E112" i="3" l="1"/>
  <c r="F112" i="3"/>
  <c r="D112" i="3" l="1"/>
  <c r="X112" i="2" l="1"/>
  <c r="U112" i="2"/>
  <c r="W112" i="2" l="1"/>
  <c r="V113" i="2"/>
  <c r="E113" i="3" l="1"/>
  <c r="F113" i="3"/>
  <c r="D113" i="3" l="1"/>
  <c r="X113" i="2" l="1"/>
  <c r="U113" i="2"/>
  <c r="V114" i="2" l="1"/>
  <c r="W113" i="2"/>
  <c r="E114" i="3" l="1"/>
  <c r="F114" i="3"/>
  <c r="D114" i="3" l="1"/>
  <c r="X114" i="2" l="1"/>
  <c r="U114" i="2"/>
  <c r="V115" i="2" l="1"/>
  <c r="W114" i="2"/>
  <c r="E115" i="3" s="1"/>
  <c r="F115" i="3" l="1"/>
  <c r="D115" i="3" l="1"/>
  <c r="U115" i="2" l="1"/>
  <c r="X115" i="2"/>
  <c r="V116" i="2" l="1"/>
  <c r="W115" i="2"/>
  <c r="F116" i="3" l="1"/>
  <c r="E116" i="3"/>
  <c r="D116" i="3" l="1"/>
  <c r="X116" i="2" l="1"/>
  <c r="U116" i="2"/>
  <c r="W116" i="2" l="1"/>
  <c r="V117" i="2"/>
  <c r="F117" i="3" l="1"/>
  <c r="E117" i="3"/>
  <c r="D117" i="3" l="1"/>
  <c r="X117" i="2" l="1"/>
  <c r="U117" i="2"/>
  <c r="W117" i="2" l="1"/>
  <c r="V118" i="2"/>
  <c r="F118" i="3" l="1"/>
  <c r="D118" i="3" s="1"/>
  <c r="E118" i="3"/>
  <c r="U118" i="2" l="1"/>
  <c r="X118" i="2"/>
  <c r="W118" i="2" l="1"/>
  <c r="V119" i="2"/>
  <c r="E119" i="3" l="1"/>
  <c r="D119" i="3" s="1"/>
  <c r="F119" i="3"/>
  <c r="U119" i="2" l="1"/>
  <c r="X119" i="2"/>
  <c r="V120" i="2" l="1"/>
  <c r="W119" i="2"/>
  <c r="E120" i="3" l="1"/>
  <c r="F120" i="3"/>
  <c r="D120" i="3" l="1"/>
  <c r="U120" i="2" s="1"/>
  <c r="X120" i="2"/>
  <c r="W120" i="2" l="1"/>
  <c r="F121" i="3" s="1"/>
  <c r="V121" i="2"/>
  <c r="E121" i="3" l="1"/>
  <c r="D121" i="3" l="1"/>
  <c r="X121" i="2" l="1"/>
  <c r="U121" i="2"/>
  <c r="V122" i="2" l="1"/>
  <c r="W121" i="2"/>
  <c r="F122" i="3" l="1"/>
  <c r="E122" i="3"/>
  <c r="D122" i="3" l="1"/>
  <c r="U122" i="2" l="1"/>
  <c r="X122" i="2"/>
  <c r="V123" i="2" l="1"/>
  <c r="W122" i="2"/>
  <c r="F123" i="3" l="1"/>
  <c r="E123" i="3"/>
  <c r="D123" i="3" l="1"/>
  <c r="X123" i="2" l="1"/>
  <c r="U123" i="2"/>
  <c r="W123" i="2" l="1"/>
  <c r="V124" i="2"/>
  <c r="F124" i="3" l="1"/>
  <c r="E124" i="3"/>
  <c r="D124" i="3" s="1"/>
  <c r="X124" i="2" l="1"/>
  <c r="U124" i="2"/>
  <c r="W124" i="2" l="1"/>
  <c r="F125" i="3" s="1"/>
  <c r="V125" i="2"/>
  <c r="E125" i="3" l="1"/>
  <c r="D125" i="3" l="1"/>
  <c r="X125" i="2" l="1"/>
  <c r="U125" i="2"/>
  <c r="W125" i="2" l="1"/>
  <c r="F126" i="3" s="1"/>
  <c r="V126" i="2"/>
  <c r="E126" i="3" l="1"/>
  <c r="D126" i="3" l="1"/>
  <c r="X126" i="2" l="1"/>
  <c r="U126" i="2"/>
  <c r="W126" i="2" l="1"/>
  <c r="F127" i="3" s="1"/>
  <c r="V127" i="2"/>
  <c r="E127" i="3" l="1"/>
  <c r="D127" i="3" l="1"/>
  <c r="X127" i="2" l="1"/>
  <c r="U127" i="2"/>
  <c r="W127" i="2" l="1"/>
  <c r="V128" i="2"/>
  <c r="E128" i="3" l="1"/>
  <c r="F128" i="3"/>
  <c r="D128" i="3" l="1"/>
  <c r="X128" i="2" l="1"/>
  <c r="U128" i="2"/>
  <c r="W128" i="2" l="1"/>
  <c r="V129" i="2"/>
  <c r="E129" i="3" l="1"/>
  <c r="F129" i="3"/>
  <c r="D129" i="3" l="1"/>
  <c r="X129" i="2" l="1"/>
  <c r="U129" i="2"/>
  <c r="W129" i="2" l="1"/>
  <c r="V130" i="2"/>
  <c r="F130" i="3" l="1"/>
  <c r="E130" i="3"/>
  <c r="D130" i="3" l="1"/>
  <c r="X130" i="2" l="1"/>
  <c r="U130" i="2"/>
  <c r="V131" i="2" l="1"/>
  <c r="W130" i="2"/>
  <c r="F131" i="3" l="1"/>
  <c r="E131" i="3"/>
  <c r="D131" i="3" l="1"/>
  <c r="U131" i="2"/>
  <c r="X131" i="2"/>
  <c r="V132" i="2" l="1"/>
  <c r="W131" i="2"/>
  <c r="F132" i="3" l="1"/>
  <c r="E132" i="3"/>
  <c r="D132" i="3" l="1"/>
  <c r="U132" i="2" l="1"/>
  <c r="X132" i="2"/>
  <c r="V133" i="2" l="1"/>
  <c r="W132" i="2"/>
  <c r="F133" i="3" l="1"/>
  <c r="E133" i="3"/>
  <c r="D133" i="3" l="1"/>
  <c r="X133" i="2" l="1"/>
  <c r="U133" i="2"/>
  <c r="V134" i="2" l="1"/>
  <c r="W133" i="2"/>
  <c r="F134" i="3" l="1"/>
  <c r="E134" i="3"/>
  <c r="D134" i="3" s="1"/>
  <c r="X134" i="2" l="1"/>
  <c r="U134" i="2"/>
  <c r="W134" i="2" l="1"/>
  <c r="V135" i="2"/>
  <c r="F135" i="3" l="1"/>
  <c r="E135" i="3"/>
  <c r="D135" i="3" l="1"/>
  <c r="U135" i="2" l="1"/>
  <c r="X135" i="2"/>
  <c r="W135" i="2" l="1"/>
  <c r="V136" i="2"/>
  <c r="F136" i="3" l="1"/>
  <c r="E136" i="3"/>
  <c r="D136" i="3" l="1"/>
  <c r="U136" i="2"/>
  <c r="X136" i="2"/>
  <c r="W136" i="2" l="1"/>
  <c r="V137" i="2"/>
  <c r="F137" i="3" l="1"/>
  <c r="E137" i="3"/>
  <c r="D137" i="3" l="1"/>
  <c r="U137" i="2" l="1"/>
  <c r="X137" i="2"/>
  <c r="W137" i="2" l="1"/>
  <c r="V138" i="2"/>
  <c r="E138" i="3" l="1"/>
  <c r="F138" i="3"/>
  <c r="D138" i="3" s="1"/>
  <c r="X138" i="2" l="1"/>
  <c r="U138" i="2"/>
  <c r="V139" i="2" l="1"/>
  <c r="W138" i="2"/>
  <c r="E139" i="3" l="1"/>
  <c r="F139" i="3"/>
  <c r="D139" i="3" l="1"/>
  <c r="X139" i="2" l="1"/>
  <c r="U139" i="2"/>
  <c r="W139" i="2" l="1"/>
  <c r="V140" i="2"/>
  <c r="F140" i="3" l="1"/>
  <c r="E140" i="3"/>
  <c r="D140" i="3" l="1"/>
  <c r="X140" i="2" l="1"/>
  <c r="U140" i="2"/>
  <c r="W140" i="2" l="1"/>
  <c r="V141" i="2"/>
  <c r="F141" i="3" l="1"/>
  <c r="E141" i="3"/>
  <c r="D141" i="3" l="1"/>
  <c r="U141" i="2" l="1"/>
  <c r="X141" i="2"/>
  <c r="V142" i="2" l="1"/>
  <c r="W141" i="2"/>
  <c r="E142" i="3" l="1"/>
  <c r="F142" i="3"/>
  <c r="D142" i="3" l="1"/>
  <c r="X142" i="2"/>
  <c r="U142" i="2"/>
  <c r="V143" i="2" l="1"/>
  <c r="W142" i="2"/>
  <c r="F143" i="3" l="1"/>
  <c r="E143" i="3"/>
  <c r="D143" i="3" l="1"/>
  <c r="U143" i="2" l="1"/>
  <c r="X143" i="2"/>
  <c r="W143" i="2" l="1"/>
  <c r="V144" i="2"/>
  <c r="F144" i="3" l="1"/>
  <c r="E144" i="3"/>
  <c r="D144" i="3" l="1"/>
  <c r="U144" i="2" l="1"/>
  <c r="X144" i="2"/>
  <c r="V145" i="2" l="1"/>
  <c r="W144" i="2"/>
  <c r="F145" i="3" l="1"/>
  <c r="D145" i="3" s="1"/>
  <c r="E145" i="3"/>
  <c r="U145" i="2" l="1"/>
  <c r="X145" i="2"/>
  <c r="V146" i="2" l="1"/>
  <c r="W145" i="2"/>
  <c r="F146" i="3" l="1"/>
  <c r="E146" i="3"/>
  <c r="D146" i="3" l="1"/>
  <c r="X146" i="2" l="1"/>
  <c r="U146" i="2"/>
  <c r="W146" i="2" l="1"/>
  <c r="V147" i="2"/>
  <c r="F147" i="3" l="1"/>
  <c r="E147" i="3"/>
  <c r="D147" i="3" l="1"/>
  <c r="U147" i="2" l="1"/>
  <c r="X147" i="2"/>
  <c r="W147" i="2" l="1"/>
  <c r="V148" i="2"/>
  <c r="E148" i="3" l="1"/>
  <c r="D148" i="3" s="1"/>
  <c r="F148" i="3"/>
  <c r="X148" i="2" l="1"/>
  <c r="U148" i="2"/>
  <c r="W148" i="2" l="1"/>
  <c r="V149" i="2"/>
  <c r="E149" i="3" l="1"/>
  <c r="D149" i="3" s="1"/>
  <c r="F149" i="3"/>
  <c r="U149" i="2" l="1"/>
  <c r="X149" i="2"/>
  <c r="V150" i="2" l="1"/>
  <c r="W149" i="2"/>
  <c r="E150" i="3" l="1"/>
  <c r="F150" i="3"/>
  <c r="D150" i="3" l="1"/>
  <c r="X150" i="2" l="1"/>
  <c r="U150" i="2"/>
  <c r="V151" i="2" l="1"/>
  <c r="W150" i="2"/>
  <c r="E151" i="3" l="1"/>
  <c r="F151" i="3"/>
  <c r="D151" i="3" l="1"/>
  <c r="X151" i="2" s="1"/>
  <c r="U151" i="2"/>
  <c r="V152" i="2" l="1"/>
  <c r="W151" i="2"/>
  <c r="E152" i="3" l="1"/>
  <c r="F152" i="3"/>
  <c r="D152" i="3" l="1"/>
  <c r="X152" i="2" l="1"/>
  <c r="U152" i="2"/>
  <c r="V153" i="2" l="1"/>
  <c r="W152" i="2"/>
  <c r="F153" i="3" l="1"/>
  <c r="E153" i="3"/>
  <c r="D153" i="3" l="1"/>
  <c r="X153" i="2" s="1"/>
  <c r="U153" i="2"/>
  <c r="W153" i="2" l="1"/>
  <c r="V154" i="2"/>
  <c r="F154" i="3" l="1"/>
  <c r="E154" i="3"/>
  <c r="D154" i="3" l="1"/>
  <c r="U154" i="2" l="1"/>
  <c r="X154" i="2"/>
  <c r="V155" i="2" l="1"/>
  <c r="W154" i="2"/>
  <c r="E155" i="3" l="1"/>
  <c r="F155" i="3"/>
  <c r="D155" i="3" l="1"/>
  <c r="U155" i="2" l="1"/>
  <c r="X155" i="2"/>
  <c r="V156" i="2" l="1"/>
  <c r="W155" i="2"/>
  <c r="F156" i="3" l="1"/>
  <c r="E156" i="3"/>
  <c r="D156" i="3" l="1"/>
  <c r="U156" i="2" l="1"/>
  <c r="X156" i="2"/>
  <c r="W156" i="2" l="1"/>
  <c r="V157" i="2"/>
  <c r="F157" i="3" l="1"/>
  <c r="E157" i="3"/>
  <c r="D157" i="3" s="1"/>
  <c r="X157" i="2" l="1"/>
  <c r="U157" i="2"/>
  <c r="V158" i="2" l="1"/>
  <c r="W157" i="2"/>
  <c r="E158" i="3" l="1"/>
  <c r="D158" i="3" s="1"/>
  <c r="F158" i="3"/>
  <c r="X158" i="2" l="1"/>
  <c r="U158" i="2"/>
  <c r="V159" i="2" l="1"/>
  <c r="W158" i="2"/>
  <c r="E159" i="3" l="1"/>
  <c r="F159" i="3"/>
  <c r="D159" i="3" l="1"/>
  <c r="U159" i="2" l="1"/>
  <c r="X159" i="2"/>
  <c r="V160" i="2" l="1"/>
  <c r="W159" i="2"/>
  <c r="E160" i="3" s="1"/>
  <c r="F160" i="3" l="1"/>
  <c r="D160" i="3" l="1"/>
  <c r="X160" i="2" l="1"/>
  <c r="U160" i="2"/>
  <c r="W160" i="2" l="1"/>
  <c r="V161" i="2"/>
  <c r="F161" i="3" l="1"/>
  <c r="E161" i="3"/>
  <c r="D161" i="3" l="1"/>
  <c r="X161" i="2" l="1"/>
  <c r="U161" i="2"/>
  <c r="V162" i="2" l="1"/>
  <c r="W161" i="2"/>
  <c r="F162" i="3" l="1"/>
  <c r="E162" i="3"/>
  <c r="D162" i="3" l="1"/>
  <c r="U162" i="2" l="1"/>
  <c r="X162" i="2"/>
  <c r="V163" i="2" l="1"/>
  <c r="W162" i="2"/>
  <c r="E163" i="3" l="1"/>
  <c r="F163" i="3"/>
  <c r="D163" i="3" l="1"/>
  <c r="X163" i="2" l="1"/>
  <c r="U163" i="2"/>
  <c r="V164" i="2" l="1"/>
  <c r="W163" i="2"/>
  <c r="F164" i="3" l="1"/>
  <c r="E164" i="3"/>
  <c r="D164" i="3" l="1"/>
  <c r="X164" i="2" l="1"/>
  <c r="U164" i="2"/>
  <c r="V165" i="2" l="1"/>
  <c r="W164" i="2"/>
  <c r="E165" i="3" l="1"/>
  <c r="F165" i="3"/>
  <c r="D165" i="3" l="1"/>
  <c r="X165" i="2" l="1"/>
  <c r="U165" i="2"/>
  <c r="V166" i="2" l="1"/>
  <c r="W165" i="2"/>
  <c r="F166" i="3" l="1"/>
  <c r="E166" i="3"/>
  <c r="D166" i="3" l="1"/>
  <c r="U166" i="2" l="1"/>
  <c r="X166" i="2"/>
  <c r="W166" i="2" l="1"/>
  <c r="V167" i="2"/>
  <c r="E167" i="3"/>
  <c r="F167" i="3"/>
  <c r="D167" i="3" l="1"/>
  <c r="X167" i="2" l="1"/>
  <c r="U167" i="2"/>
  <c r="V168" i="2" l="1"/>
  <c r="W167" i="2"/>
  <c r="F168" i="3" l="1"/>
  <c r="E168" i="3"/>
  <c r="D168" i="3" s="1"/>
  <c r="U168" i="2" l="1"/>
  <c r="X168" i="2"/>
  <c r="V169" i="2" l="1"/>
  <c r="W168" i="2"/>
  <c r="E169" i="3" l="1"/>
  <c r="F169" i="3"/>
  <c r="D169" i="3" l="1"/>
  <c r="X169" i="2" l="1"/>
  <c r="U169" i="2"/>
  <c r="W169" i="2" l="1"/>
  <c r="V170" i="2"/>
  <c r="F170" i="3" l="1"/>
  <c r="E170" i="3"/>
  <c r="D170" i="3" l="1"/>
  <c r="U170" i="2" l="1"/>
  <c r="X170" i="2"/>
  <c r="W170" i="2" l="1"/>
  <c r="V171" i="2"/>
  <c r="F171" i="3" l="1"/>
  <c r="E171" i="3"/>
  <c r="D171" i="3" s="1"/>
  <c r="X171" i="2" l="1"/>
  <c r="U171" i="2"/>
  <c r="V172" i="2" l="1"/>
  <c r="W171" i="2"/>
  <c r="F172" i="3" l="1"/>
  <c r="E172" i="3"/>
  <c r="D172" i="3" l="1"/>
  <c r="X172" i="2" s="1"/>
  <c r="U172" i="2"/>
  <c r="W172" i="2" l="1"/>
  <c r="V173" i="2"/>
  <c r="E173" i="3" l="1"/>
  <c r="F173" i="3"/>
  <c r="D173" i="3" l="1"/>
  <c r="X173" i="2" l="1"/>
  <c r="U173" i="2"/>
  <c r="V174" i="2" l="1"/>
  <c r="W173" i="2"/>
  <c r="F174" i="3" l="1"/>
  <c r="E174" i="3"/>
  <c r="D174" i="3" l="1"/>
  <c r="U174" i="2" l="1"/>
  <c r="X174" i="2"/>
  <c r="V175" i="2" l="1"/>
  <c r="W174" i="2"/>
  <c r="F175" i="3" l="1"/>
  <c r="E175" i="3"/>
  <c r="D175" i="3" l="1"/>
  <c r="X175" i="2" s="1"/>
  <c r="U175" i="2"/>
  <c r="W175" i="2" l="1"/>
  <c r="V176" i="2"/>
  <c r="E176" i="3" l="1"/>
  <c r="F176" i="3"/>
  <c r="D176" i="3" s="1"/>
  <c r="X176" i="2" l="1"/>
  <c r="U176" i="2"/>
  <c r="V177" i="2" l="1"/>
  <c r="W176" i="2"/>
  <c r="E177" i="3" l="1"/>
  <c r="F177" i="3"/>
  <c r="D177" i="3" l="1"/>
  <c r="X177" i="2" l="1"/>
  <c r="U177" i="2"/>
  <c r="W177" i="2" l="1"/>
  <c r="V178" i="2"/>
  <c r="E178" i="3" l="1"/>
  <c r="F178" i="3"/>
  <c r="D178" i="3" l="1"/>
  <c r="X178" i="2" l="1"/>
  <c r="U178" i="2"/>
  <c r="V179" i="2" l="1"/>
  <c r="W178" i="2"/>
  <c r="E179" i="3" l="1"/>
  <c r="F179" i="3"/>
  <c r="D179" i="3" l="1"/>
  <c r="X179" i="2" l="1"/>
  <c r="U179" i="2"/>
  <c r="V180" i="2" l="1"/>
  <c r="W179" i="2"/>
  <c r="F180" i="3" l="1"/>
  <c r="E180" i="3"/>
  <c r="D180" i="3" s="1"/>
  <c r="U180" i="2" l="1"/>
  <c r="X180" i="2"/>
  <c r="V181" i="2" l="1"/>
  <c r="W180" i="2"/>
  <c r="F181" i="3" l="1"/>
  <c r="E181" i="3"/>
  <c r="D181" i="3" l="1"/>
  <c r="U181" i="2" l="1"/>
  <c r="X181" i="2"/>
  <c r="V182" i="2" l="1"/>
  <c r="W181" i="2"/>
  <c r="F182" i="3" l="1"/>
  <c r="E182" i="3"/>
  <c r="D182" i="3" l="1"/>
  <c r="X182" i="2"/>
  <c r="U182" i="2"/>
  <c r="W182" i="2" l="1"/>
  <c r="V183" i="2"/>
  <c r="E183" i="3" l="1"/>
  <c r="F183" i="3"/>
  <c r="D183" i="3" l="1"/>
  <c r="X183" i="2" l="1"/>
  <c r="U183" i="2"/>
  <c r="W183" i="2" l="1"/>
  <c r="V184" i="2"/>
  <c r="E184" i="3" l="1"/>
  <c r="F184" i="3"/>
  <c r="D184" i="3" l="1"/>
  <c r="U184" i="2" l="1"/>
  <c r="X184" i="2"/>
  <c r="W184" i="2" l="1"/>
  <c r="V185" i="2"/>
  <c r="E185" i="3" l="1"/>
  <c r="F185" i="3"/>
  <c r="D185" i="3" l="1"/>
  <c r="U185" i="2" l="1"/>
  <c r="X185" i="2"/>
  <c r="V186" i="2"/>
  <c r="W185" i="2"/>
  <c r="E186" i="3" l="1"/>
  <c r="F186" i="3"/>
  <c r="D186" i="3" l="1"/>
  <c r="X186" i="2" l="1"/>
  <c r="U186" i="2"/>
  <c r="V187" i="2" l="1"/>
  <c r="W186" i="2"/>
  <c r="F187" i="3" l="1"/>
  <c r="E187" i="3"/>
  <c r="D187" i="3" l="1"/>
  <c r="X187" i="2" s="1"/>
  <c r="U187" i="2"/>
  <c r="V188" i="2" l="1"/>
  <c r="W187" i="2"/>
  <c r="F188" i="3" l="1"/>
  <c r="E188" i="3"/>
  <c r="D188" i="3" l="1"/>
  <c r="X188" i="2" l="1"/>
  <c r="U188" i="2"/>
  <c r="V189" i="2" l="1"/>
  <c r="W188" i="2"/>
  <c r="E189" i="3" l="1"/>
  <c r="F189" i="3"/>
  <c r="D189" i="3" l="1"/>
  <c r="X189" i="2" l="1"/>
  <c r="U189" i="2"/>
  <c r="V190" i="2" l="1"/>
  <c r="W189" i="2"/>
  <c r="E190" i="3" l="1"/>
  <c r="F190" i="3"/>
  <c r="D190" i="3" l="1"/>
  <c r="X190" i="2" l="1"/>
  <c r="U190" i="2"/>
  <c r="W190" i="2" l="1"/>
  <c r="V191" i="2"/>
  <c r="E191" i="3" l="1"/>
  <c r="F191" i="3"/>
  <c r="D191" i="3" l="1"/>
  <c r="X191" i="2" l="1"/>
  <c r="U191" i="2"/>
  <c r="W191" i="2" l="1"/>
  <c r="V192" i="2"/>
  <c r="E192" i="3" l="1"/>
  <c r="F192" i="3"/>
  <c r="D192" i="3" l="1"/>
  <c r="X192" i="2" l="1"/>
  <c r="U192" i="2"/>
  <c r="V193" i="2" l="1"/>
  <c r="W192" i="2"/>
  <c r="F193" i="3" l="1"/>
  <c r="E193" i="3"/>
  <c r="D193" i="3" l="1"/>
  <c r="X193" i="2" l="1"/>
  <c r="U193" i="2"/>
  <c r="V194" i="2" l="1"/>
  <c r="W193" i="2"/>
  <c r="E194" i="3" l="1"/>
  <c r="F194" i="3"/>
  <c r="D194" i="3" l="1"/>
  <c r="U194" i="2" l="1"/>
  <c r="X194" i="2"/>
  <c r="W194" i="2" l="1"/>
  <c r="V195" i="2"/>
  <c r="E195" i="3" l="1"/>
  <c r="F195" i="3"/>
  <c r="D195" i="3" l="1"/>
  <c r="X195" i="2" l="1"/>
  <c r="U195" i="2"/>
  <c r="W195" i="2" l="1"/>
  <c r="V196" i="2"/>
  <c r="F196" i="3" l="1"/>
  <c r="E196" i="3"/>
  <c r="D196" i="3" s="1"/>
  <c r="U196" i="2" l="1"/>
  <c r="X196" i="2"/>
  <c r="V197" i="2" l="1"/>
  <c r="W196" i="2"/>
  <c r="E197" i="3" l="1"/>
  <c r="F197" i="3"/>
  <c r="D197" i="3" l="1"/>
  <c r="X197" i="2" l="1"/>
  <c r="U197" i="2"/>
  <c r="W197" i="2" l="1"/>
  <c r="V198" i="2"/>
  <c r="E198" i="3" l="1"/>
  <c r="F198" i="3"/>
  <c r="D198" i="3" l="1"/>
  <c r="U198" i="2" l="1"/>
  <c r="X198" i="2"/>
  <c r="W198" i="2" l="1"/>
  <c r="V199" i="2"/>
  <c r="E199" i="3"/>
  <c r="D199" i="3" s="1"/>
  <c r="F199" i="3"/>
  <c r="U199" i="2" l="1"/>
  <c r="X199" i="2"/>
  <c r="V200" i="2" l="1"/>
  <c r="W199" i="2"/>
  <c r="E200" i="3" l="1"/>
  <c r="F200" i="3"/>
  <c r="D200" i="3" l="1"/>
  <c r="U200" i="2" l="1"/>
  <c r="X200" i="2"/>
  <c r="V201" i="2" l="1"/>
  <c r="W200" i="2"/>
  <c r="F201" i="3" l="1"/>
  <c r="E201" i="3"/>
  <c r="D201" i="3" s="1"/>
  <c r="U201" i="2" l="1"/>
  <c r="X201" i="2"/>
  <c r="W201" i="2" l="1"/>
  <c r="V202" i="2"/>
  <c r="E202" i="3" l="1"/>
  <c r="F202" i="3"/>
  <c r="D202" i="3" l="1"/>
  <c r="U202" i="2" l="1"/>
  <c r="V203" i="2" s="1"/>
  <c r="X202" i="2"/>
  <c r="W202" i="2"/>
  <c r="F203" i="3" l="1"/>
  <c r="E203" i="3"/>
  <c r="D203" i="3" l="1"/>
  <c r="X203" i="2" l="1"/>
  <c r="U203" i="2"/>
  <c r="W203" i="2" l="1"/>
  <c r="F204" i="3" s="1"/>
  <c r="V204" i="2"/>
  <c r="E204" i="3"/>
  <c r="D204" i="3" l="1"/>
  <c r="U204" i="2" l="1"/>
  <c r="X204" i="2"/>
  <c r="V205" i="2" l="1"/>
  <c r="W204" i="2"/>
  <c r="F205" i="3" l="1"/>
  <c r="E205" i="3"/>
  <c r="D205" i="3" s="1"/>
  <c r="X205" i="2" l="1"/>
  <c r="U205" i="2"/>
  <c r="W205" i="2" l="1"/>
  <c r="V206" i="2"/>
  <c r="F206" i="3" l="1"/>
  <c r="E206" i="3"/>
  <c r="D206" i="3" l="1"/>
  <c r="X206" i="2" l="1"/>
  <c r="U206" i="2"/>
  <c r="V207" i="2" l="1"/>
  <c r="W206" i="2"/>
  <c r="E207" i="3" l="1"/>
  <c r="F207" i="3"/>
  <c r="D207" i="3" l="1"/>
  <c r="X207" i="2" l="1"/>
  <c r="U207" i="2"/>
  <c r="W207" i="2" l="1"/>
  <c r="V208" i="2"/>
  <c r="E208" i="3" l="1"/>
  <c r="F208" i="3"/>
  <c r="D208" i="3" l="1"/>
  <c r="X208" i="2" l="1"/>
  <c r="U208" i="2"/>
  <c r="W208" i="2" l="1"/>
  <c r="V209" i="2"/>
  <c r="E209" i="3" l="1"/>
  <c r="F209" i="3"/>
  <c r="D209" i="3" l="1"/>
  <c r="X209" i="2" l="1"/>
  <c r="U209" i="2"/>
  <c r="W209" i="2" l="1"/>
  <c r="V210" i="2"/>
  <c r="E210" i="3" l="1"/>
  <c r="F210" i="3"/>
  <c r="D210" i="3" l="1"/>
  <c r="X210" i="2" l="1"/>
  <c r="U210" i="2"/>
  <c r="W210" i="2" l="1"/>
  <c r="V211" i="2"/>
  <c r="E211" i="3" l="1"/>
  <c r="F211" i="3"/>
  <c r="D211" i="3" l="1"/>
  <c r="X211" i="2" l="1"/>
  <c r="U211" i="2"/>
  <c r="W211" i="2" l="1"/>
  <c r="F212" i="3" s="1"/>
  <c r="V212" i="2"/>
  <c r="E212" i="3"/>
  <c r="D212" i="3" l="1"/>
  <c r="X212" i="2" l="1"/>
  <c r="U212" i="2"/>
  <c r="V213" i="2" l="1"/>
  <c r="W212" i="2"/>
  <c r="F213" i="3" l="1"/>
  <c r="E213" i="3"/>
  <c r="D213" i="3" l="1"/>
  <c r="U213" i="2" l="1"/>
  <c r="X213" i="2"/>
  <c r="W213" i="2" l="1"/>
  <c r="V214" i="2"/>
  <c r="E214" i="3" l="1"/>
  <c r="F214" i="3"/>
  <c r="D214" i="3" s="1"/>
  <c r="U214" i="2" l="1"/>
  <c r="X214" i="2"/>
  <c r="V215" i="2" l="1"/>
  <c r="W214" i="2"/>
  <c r="F215" i="3"/>
  <c r="E215" i="3"/>
  <c r="D215" i="3" s="1"/>
  <c r="U215" i="2" l="1"/>
  <c r="X215" i="2"/>
  <c r="V216" i="2" l="1"/>
  <c r="W215" i="2"/>
  <c r="E216" i="3" l="1"/>
  <c r="F216" i="3"/>
  <c r="D216" i="3" l="1"/>
  <c r="U216" i="2" l="1"/>
  <c r="X216" i="2"/>
  <c r="V217" i="2" l="1"/>
  <c r="W216" i="2"/>
  <c r="F217" i="3"/>
  <c r="E217" i="3"/>
  <c r="D217" i="3" l="1"/>
  <c r="X217" i="2" l="1"/>
  <c r="U217" i="2"/>
  <c r="W217" i="2" l="1"/>
  <c r="V218" i="2"/>
  <c r="F218" i="3" l="1"/>
  <c r="E218" i="3"/>
  <c r="D218" i="3" l="1"/>
  <c r="X218" i="2" l="1"/>
  <c r="U218" i="2"/>
  <c r="V219" i="2" l="1"/>
  <c r="W218" i="2"/>
  <c r="F219" i="3" l="1"/>
  <c r="E219" i="3"/>
  <c r="D219" i="3" l="1"/>
  <c r="X219" i="2" l="1"/>
  <c r="U219" i="2"/>
  <c r="V220" i="2" l="1"/>
  <c r="W219" i="2"/>
  <c r="F220" i="3" l="1"/>
  <c r="E220" i="3"/>
  <c r="D220" i="3" l="1"/>
  <c r="X220" i="2" l="1"/>
  <c r="U220" i="2"/>
  <c r="W220" i="2" l="1"/>
  <c r="V221" i="2"/>
  <c r="E221" i="3" l="1"/>
  <c r="F221" i="3"/>
  <c r="D221" i="3" l="1"/>
  <c r="U221" i="2" l="1"/>
  <c r="X221" i="2"/>
  <c r="W221" i="2" l="1"/>
  <c r="V222" i="2"/>
  <c r="E222" i="3" l="1"/>
  <c r="F222" i="3"/>
  <c r="D222" i="3" l="1"/>
  <c r="X222" i="2" s="1"/>
  <c r="U222" i="2"/>
  <c r="V223" i="2" l="1"/>
  <c r="W222" i="2"/>
  <c r="E223" i="3" l="1"/>
  <c r="F223" i="3"/>
  <c r="D223" i="3" l="1"/>
  <c r="X223" i="2"/>
  <c r="U223" i="2"/>
  <c r="V224" i="2" l="1"/>
  <c r="W223" i="2"/>
  <c r="E224" i="3" l="1"/>
  <c r="F224" i="3"/>
  <c r="D224" i="3" l="1"/>
  <c r="X224" i="2" l="1"/>
  <c r="U224" i="2"/>
  <c r="W224" i="2" l="1"/>
  <c r="V225" i="2"/>
  <c r="F225" i="3" l="1"/>
  <c r="E225" i="3"/>
  <c r="D225" i="3" l="1"/>
  <c r="U225" i="2" s="1"/>
  <c r="X225" i="2"/>
  <c r="V226" i="2" l="1"/>
  <c r="W225" i="2"/>
  <c r="F226" i="3" l="1"/>
  <c r="E226" i="3"/>
  <c r="D226" i="3" s="1"/>
  <c r="X226" i="2" l="1"/>
  <c r="U226" i="2"/>
  <c r="V227" i="2" l="1"/>
  <c r="W226" i="2"/>
  <c r="F227" i="3" l="1"/>
  <c r="E227" i="3"/>
  <c r="D227" i="3" l="1"/>
  <c r="X227" i="2" l="1"/>
  <c r="U227" i="2"/>
  <c r="V228" i="2" l="1"/>
  <c r="W227" i="2"/>
  <c r="E228" i="3" l="1"/>
  <c r="F228" i="3"/>
  <c r="D228" i="3" l="1"/>
  <c r="X228" i="2" l="1"/>
  <c r="U228" i="2"/>
  <c r="V229" i="2" l="1"/>
  <c r="W228" i="2"/>
  <c r="E229" i="3" l="1"/>
  <c r="F229" i="3"/>
  <c r="D229" i="3" l="1"/>
  <c r="U229" i="2" l="1"/>
  <c r="X229" i="2"/>
  <c r="W229" i="2" l="1"/>
  <c r="V230" i="2"/>
  <c r="E230" i="3" l="1"/>
  <c r="F230" i="3"/>
  <c r="D230" i="3" l="1"/>
  <c r="X230" i="2" l="1"/>
  <c r="U230" i="2"/>
  <c r="W230" i="2" l="1"/>
  <c r="V231" i="2"/>
  <c r="F231" i="3" l="1"/>
  <c r="E231" i="3"/>
  <c r="D231" i="3" l="1"/>
  <c r="X231" i="2" s="1"/>
  <c r="U231" i="2"/>
  <c r="V232" i="2" l="1"/>
  <c r="W231" i="2"/>
  <c r="F232" i="3" l="1"/>
  <c r="E232" i="3"/>
  <c r="D232" i="3" l="1"/>
  <c r="U232" i="2" l="1"/>
  <c r="X232" i="2"/>
  <c r="V233" i="2" l="1"/>
  <c r="W232" i="2"/>
  <c r="F233" i="3" s="1"/>
  <c r="E233" i="3"/>
  <c r="D233" i="3" l="1"/>
  <c r="X233" i="2" s="1"/>
  <c r="U233" i="2"/>
  <c r="V234" i="2" l="1"/>
  <c r="W233" i="2"/>
  <c r="E234" i="3" l="1"/>
  <c r="F234" i="3"/>
  <c r="D234" i="3" l="1"/>
  <c r="X234" i="2" l="1"/>
  <c r="U234" i="2"/>
  <c r="V235" i="2" l="1"/>
  <c r="W234" i="2"/>
  <c r="E235" i="3" l="1"/>
  <c r="F235" i="3"/>
  <c r="D235" i="3" l="1"/>
  <c r="X235" i="2" l="1"/>
  <c r="U235" i="2"/>
  <c r="W235" i="2" l="1"/>
  <c r="V236" i="2"/>
  <c r="F236" i="3" l="1"/>
  <c r="E236" i="3"/>
  <c r="D236" i="3" s="1"/>
  <c r="X236" i="2" l="1"/>
  <c r="U236" i="2"/>
  <c r="W236" i="2" l="1"/>
  <c r="V237" i="2"/>
  <c r="F237" i="3"/>
  <c r="E237" i="3"/>
  <c r="D237" i="3" l="1"/>
  <c r="X237" i="2" l="1"/>
  <c r="U237" i="2"/>
  <c r="V238" i="2" l="1"/>
  <c r="W237" i="2"/>
  <c r="E238" i="3" l="1"/>
  <c r="F238" i="3"/>
  <c r="D238" i="3" l="1"/>
  <c r="X238" i="2" s="1"/>
  <c r="U238" i="2"/>
  <c r="V239" i="2" l="1"/>
  <c r="W238" i="2"/>
  <c r="E239" i="3" l="1"/>
  <c r="F239" i="3"/>
  <c r="D239" i="3" l="1"/>
  <c r="X239" i="2" l="1"/>
  <c r="U239" i="2"/>
  <c r="W239" i="2" l="1"/>
  <c r="V240" i="2"/>
  <c r="F240" i="3" l="1"/>
  <c r="E240" i="3"/>
  <c r="D240" i="3" l="1"/>
  <c r="U240" i="2" l="1"/>
  <c r="X240" i="2"/>
  <c r="V241" i="2" l="1"/>
  <c r="W240" i="2"/>
  <c r="E241" i="3" l="1"/>
  <c r="F241" i="3"/>
  <c r="D241" i="3" s="1"/>
  <c r="X241" i="2" l="1"/>
  <c r="U241" i="2"/>
  <c r="V242" i="2" l="1"/>
  <c r="W241" i="2"/>
  <c r="F242" i="3" l="1"/>
  <c r="E242" i="3"/>
  <c r="D242" i="3" l="1"/>
  <c r="X242" i="2" l="1"/>
  <c r="U242" i="2"/>
  <c r="W242" i="2" l="1"/>
  <c r="V243" i="2"/>
  <c r="F243" i="3" l="1"/>
  <c r="E243" i="3"/>
  <c r="D243" i="3" l="1"/>
  <c r="X243" i="2" l="1"/>
  <c r="U243" i="2"/>
  <c r="V244" i="2" l="1"/>
  <c r="W243" i="2"/>
  <c r="F244" i="3"/>
  <c r="E244" i="3"/>
  <c r="D244" i="3" l="1"/>
  <c r="X244" i="2" s="1"/>
  <c r="U244" i="2"/>
  <c r="V245" i="2" l="1"/>
  <c r="W244" i="2"/>
  <c r="F245" i="3" l="1"/>
  <c r="E245" i="3"/>
  <c r="D245" i="3" l="1"/>
  <c r="X245" i="2" l="1"/>
  <c r="U245" i="2"/>
  <c r="V246" i="2" l="1"/>
  <c r="W245" i="2"/>
  <c r="F246" i="3" l="1"/>
  <c r="E246" i="3"/>
  <c r="D246" i="3" l="1"/>
  <c r="X246" i="2" l="1"/>
  <c r="U246" i="2"/>
  <c r="W246" i="2" l="1"/>
  <c r="V247" i="2"/>
  <c r="F247" i="3" l="1"/>
  <c r="E247" i="3"/>
  <c r="D247" i="3" l="1"/>
  <c r="U247" i="2" l="1"/>
  <c r="X247" i="2"/>
  <c r="V248" i="2" l="1"/>
  <c r="W247" i="2"/>
  <c r="F248" i="3" l="1"/>
  <c r="E248" i="3"/>
  <c r="D248" i="3" l="1"/>
  <c r="U248" i="2" l="1"/>
  <c r="X248" i="2"/>
  <c r="W248" i="2" l="1"/>
  <c r="V249" i="2"/>
  <c r="E249" i="3" l="1"/>
  <c r="F249" i="3"/>
  <c r="D249" i="3" l="1"/>
  <c r="X249" i="2" l="1"/>
  <c r="U249" i="2"/>
  <c r="V250" i="2" l="1"/>
  <c r="W249" i="2"/>
  <c r="F250" i="3" l="1"/>
  <c r="E250" i="3"/>
  <c r="D250" i="3" l="1"/>
  <c r="U250" i="2" l="1"/>
  <c r="X250" i="2"/>
  <c r="W250" i="2" l="1"/>
  <c r="V251" i="2"/>
  <c r="F251" i="3" l="1"/>
  <c r="E251" i="3"/>
  <c r="D251" i="3" l="1"/>
  <c r="U251" i="2" l="1"/>
  <c r="X251" i="2"/>
  <c r="V252" i="2" l="1"/>
  <c r="W251" i="2"/>
  <c r="F252" i="3" l="1"/>
  <c r="E252" i="3"/>
  <c r="D252" i="3" l="1"/>
  <c r="U252" i="2"/>
  <c r="X252" i="2"/>
  <c r="W252" i="2" l="1"/>
  <c r="V253" i="2"/>
  <c r="E253" i="3"/>
  <c r="F253" i="3"/>
  <c r="D253" i="3" l="1"/>
  <c r="U253" i="2"/>
  <c r="X253" i="2"/>
  <c r="W253" i="2" l="1"/>
  <c r="V254" i="2"/>
  <c r="E254" i="3" l="1"/>
  <c r="F254" i="3"/>
  <c r="D254" i="3" l="1"/>
  <c r="X254" i="2" l="1"/>
  <c r="U254" i="2"/>
  <c r="W254" i="2" l="1"/>
  <c r="V255" i="2"/>
  <c r="F255" i="3" l="1"/>
  <c r="E255" i="3"/>
  <c r="D255" i="3" s="1"/>
  <c r="X255" i="2" l="1"/>
  <c r="U255" i="2"/>
  <c r="V256" i="2" l="1"/>
  <c r="W255" i="2"/>
  <c r="E256" i="3" l="1"/>
  <c r="F256" i="3"/>
  <c r="D256" i="3" l="1"/>
  <c r="U256" i="2" l="1"/>
  <c r="X256" i="2"/>
  <c r="V257" i="2"/>
  <c r="W256" i="2"/>
  <c r="E257" i="3" l="1"/>
  <c r="F257" i="3"/>
  <c r="D257" i="3" l="1"/>
  <c r="U257" i="2" l="1"/>
  <c r="X257" i="2"/>
  <c r="V258" i="2" l="1"/>
  <c r="W257" i="2"/>
  <c r="E258" i="3" s="1"/>
  <c r="F258" i="3"/>
  <c r="D258" i="3" l="1"/>
  <c r="X258" i="2" l="1"/>
  <c r="U258" i="2"/>
  <c r="V259" i="2" l="1"/>
  <c r="W258" i="2"/>
  <c r="F259" i="3" l="1"/>
  <c r="E259" i="3"/>
  <c r="D259" i="3" l="1"/>
  <c r="U259" i="2" l="1"/>
  <c r="X259" i="2"/>
  <c r="W259" i="2" l="1"/>
  <c r="E260" i="3" s="1"/>
  <c r="V260" i="2"/>
  <c r="F260" i="3"/>
  <c r="D260" i="3" l="1"/>
  <c r="U260" i="2" l="1"/>
  <c r="X260" i="2"/>
  <c r="W260" i="2" l="1"/>
  <c r="V261" i="2"/>
  <c r="F261" i="3" l="1"/>
  <c r="E261" i="3"/>
  <c r="D261" i="3" l="1"/>
  <c r="U261" i="2" l="1"/>
  <c r="X261" i="2"/>
  <c r="W261" i="2" l="1"/>
  <c r="V262" i="2"/>
  <c r="E262" i="3" l="1"/>
  <c r="D262" i="3" s="1"/>
  <c r="F262" i="3"/>
  <c r="U262" i="2" l="1"/>
  <c r="X262" i="2"/>
  <c r="V263" i="2" l="1"/>
  <c r="W262" i="2"/>
  <c r="F263" i="3" l="1"/>
  <c r="E263" i="3"/>
  <c r="D263" i="3" l="1"/>
  <c r="U263" i="2" l="1"/>
  <c r="X263" i="2"/>
  <c r="W263" i="2" l="1"/>
  <c r="V264" i="2"/>
  <c r="F264" i="3" l="1"/>
  <c r="E264" i="3"/>
  <c r="D264" i="3" l="1"/>
  <c r="X264" i="2" l="1"/>
  <c r="U264" i="2"/>
  <c r="V265" i="2" l="1"/>
  <c r="W264" i="2"/>
  <c r="F265" i="3"/>
  <c r="E265" i="3"/>
  <c r="D265" i="3" l="1"/>
  <c r="X265" i="2" l="1"/>
  <c r="U265" i="2"/>
  <c r="W265" i="2"/>
  <c r="V266" i="2"/>
  <c r="F266" i="3" l="1"/>
  <c r="E266" i="3"/>
  <c r="D266" i="3" l="1"/>
  <c r="U266" i="2" l="1"/>
  <c r="X266" i="2"/>
  <c r="W266" i="2" l="1"/>
  <c r="V267" i="2"/>
  <c r="F267" i="3" l="1"/>
  <c r="E267" i="3"/>
  <c r="D267" i="3" l="1"/>
  <c r="X267" i="2" l="1"/>
  <c r="U267" i="2"/>
  <c r="W267" i="2" l="1"/>
  <c r="V268" i="2"/>
  <c r="E268" i="3" l="1"/>
  <c r="D268" i="3" s="1"/>
  <c r="F268" i="3"/>
  <c r="U268" i="2" l="1"/>
  <c r="X268" i="2"/>
  <c r="V269" i="2" l="1"/>
  <c r="W268" i="2"/>
  <c r="F269" i="3" l="1"/>
  <c r="E269" i="3"/>
  <c r="D269" i="3" s="1"/>
  <c r="X269" i="2" l="1"/>
  <c r="U269" i="2"/>
  <c r="W269" i="2" l="1"/>
  <c r="V270" i="2"/>
  <c r="F270" i="3" l="1"/>
  <c r="E270" i="3"/>
  <c r="D270" i="3" s="1"/>
  <c r="X270" i="2" l="1"/>
  <c r="U270" i="2"/>
  <c r="V271" i="2" l="1"/>
  <c r="W270" i="2"/>
  <c r="E271" i="3" l="1"/>
  <c r="F271" i="3"/>
  <c r="D271" i="3" l="1"/>
  <c r="X271" i="2" s="1"/>
  <c r="U271" i="2"/>
  <c r="W271" i="2" l="1"/>
  <c r="V272" i="2"/>
  <c r="F272" i="3" l="1"/>
  <c r="E272" i="3"/>
  <c r="D272" i="3" l="1"/>
  <c r="X272" i="2" l="1"/>
  <c r="U272" i="2"/>
  <c r="W272" i="2" l="1"/>
  <c r="V273" i="2"/>
  <c r="F273" i="3" l="1"/>
  <c r="E273" i="3"/>
  <c r="D273" i="3" l="1"/>
  <c r="X273" i="2" l="1"/>
  <c r="U273" i="2"/>
  <c r="V274" i="2" l="1"/>
  <c r="W273" i="2"/>
  <c r="E274" i="3" l="1"/>
  <c r="F274" i="3"/>
  <c r="D274" i="3" l="1"/>
  <c r="X274" i="2" l="1"/>
  <c r="U274" i="2"/>
  <c r="W274" i="2" l="1"/>
  <c r="V275" i="2"/>
  <c r="E275" i="3" l="1"/>
  <c r="F275" i="3"/>
  <c r="D275" i="3" l="1"/>
  <c r="X275" i="2" l="1"/>
  <c r="U275" i="2"/>
  <c r="V276" i="2" l="1"/>
  <c r="W275" i="2"/>
  <c r="E276" i="3" l="1"/>
  <c r="F276" i="3"/>
  <c r="D276" i="3" l="1"/>
  <c r="U276" i="2" l="1"/>
  <c r="X276" i="2"/>
  <c r="W276" i="2" l="1"/>
  <c r="V277" i="2"/>
  <c r="E277" i="3" l="1"/>
  <c r="F277" i="3"/>
  <c r="D277" i="3" l="1"/>
  <c r="X277" i="2" l="1"/>
  <c r="U277" i="2"/>
  <c r="V278" i="2" l="1"/>
  <c r="W277" i="2"/>
  <c r="F278" i="3" l="1"/>
  <c r="E278" i="3"/>
  <c r="D278" i="3" s="1"/>
  <c r="X278" i="2" l="1"/>
  <c r="U278" i="2"/>
  <c r="V279" i="2" l="1"/>
  <c r="W278" i="2"/>
  <c r="F279" i="3" l="1"/>
  <c r="E279" i="3"/>
  <c r="D279" i="3" l="1"/>
  <c r="X279" i="2" l="1"/>
  <c r="U279" i="2"/>
  <c r="V280" i="2" l="1"/>
  <c r="W279" i="2"/>
  <c r="F280" i="3" l="1"/>
  <c r="E280" i="3"/>
  <c r="D280" i="3" l="1"/>
  <c r="X280" i="2" l="1"/>
  <c r="U280" i="2"/>
  <c r="W280" i="2" l="1"/>
  <c r="V281" i="2"/>
  <c r="E281" i="3" l="1"/>
  <c r="F281" i="3"/>
  <c r="D281" i="3" l="1"/>
  <c r="X281" i="2" l="1"/>
  <c r="U281" i="2"/>
  <c r="W281" i="2" l="1"/>
  <c r="V282" i="2"/>
  <c r="F282" i="3" l="1"/>
  <c r="E282" i="3"/>
  <c r="D282" i="3" l="1"/>
  <c r="X282" i="2" l="1"/>
  <c r="U282" i="2"/>
  <c r="V283" i="2" l="1"/>
  <c r="W282" i="2"/>
  <c r="E283" i="3" l="1"/>
  <c r="F283" i="3"/>
  <c r="D283" i="3" l="1"/>
  <c r="X283" i="2" l="1"/>
  <c r="U283" i="2"/>
  <c r="V284" i="2" l="1"/>
  <c r="W283" i="2"/>
  <c r="E284" i="3" l="1"/>
  <c r="F284" i="3"/>
  <c r="D284" i="3" l="1"/>
  <c r="X284" i="2" l="1"/>
  <c r="U284" i="2"/>
  <c r="W284" i="2" l="1"/>
  <c r="V285" i="2"/>
  <c r="E285" i="3" l="1"/>
  <c r="F285" i="3"/>
  <c r="D285" i="3" l="1"/>
  <c r="X285" i="2" l="1"/>
  <c r="U285" i="2"/>
  <c r="W285" i="2" l="1"/>
  <c r="V286" i="2"/>
  <c r="E286" i="3" l="1"/>
  <c r="F286" i="3"/>
  <c r="D286" i="3" l="1"/>
  <c r="X286" i="2" l="1"/>
  <c r="U286" i="2"/>
  <c r="W286" i="2" l="1"/>
  <c r="V287" i="2"/>
  <c r="F287" i="3" l="1"/>
  <c r="E287" i="3"/>
  <c r="D287" i="3" l="1"/>
  <c r="U287" i="2"/>
  <c r="X287" i="2"/>
  <c r="W287" i="2" l="1"/>
  <c r="V288" i="2"/>
  <c r="F288" i="3" l="1"/>
  <c r="E288" i="3"/>
  <c r="D288" i="3" l="1"/>
  <c r="X288" i="2" s="1"/>
  <c r="U288" i="2"/>
  <c r="V289" i="2" l="1"/>
  <c r="W288" i="2"/>
  <c r="E289" i="3" l="1"/>
  <c r="F289" i="3"/>
  <c r="D289" i="3" l="1"/>
  <c r="X289" i="2" l="1"/>
  <c r="U289" i="2"/>
  <c r="V290" i="2" l="1"/>
  <c r="W289" i="2"/>
  <c r="E290" i="3" l="1"/>
  <c r="F290" i="3"/>
  <c r="D290" i="3" l="1"/>
  <c r="U290" i="2" l="1"/>
  <c r="X290" i="2"/>
  <c r="W290" i="2" l="1"/>
  <c r="V291" i="2"/>
  <c r="F291" i="3" l="1"/>
  <c r="E291" i="3"/>
  <c r="D291" i="3" l="1"/>
  <c r="X291" i="2" l="1"/>
  <c r="U291" i="2"/>
  <c r="W291" i="2" l="1"/>
  <c r="V292" i="2"/>
  <c r="E292" i="3" l="1"/>
  <c r="F292" i="3"/>
  <c r="D292" i="3" s="1"/>
  <c r="U292" i="2" l="1"/>
  <c r="X292" i="2"/>
  <c r="V293" i="2" l="1"/>
  <c r="W292" i="2"/>
  <c r="E293" i="3" l="1"/>
  <c r="F293" i="3"/>
  <c r="D293" i="3" s="1"/>
  <c r="X293" i="2" l="1"/>
  <c r="U293" i="2"/>
  <c r="W293" i="2" l="1"/>
  <c r="E294" i="3" s="1"/>
  <c r="V294" i="2"/>
  <c r="F294" i="3"/>
  <c r="D294" i="3" l="1"/>
  <c r="X294" i="2" l="1"/>
  <c r="U294" i="2"/>
  <c r="W294" i="2" l="1"/>
  <c r="V295" i="2"/>
  <c r="F295" i="3" l="1"/>
  <c r="E295" i="3"/>
  <c r="D295" i="3" s="1"/>
  <c r="X295" i="2" l="1"/>
  <c r="U295" i="2"/>
  <c r="W295" i="2" l="1"/>
  <c r="V296" i="2"/>
  <c r="F296" i="3" l="1"/>
  <c r="E296" i="3"/>
  <c r="D296" i="3" l="1"/>
  <c r="U296" i="2" l="1"/>
  <c r="X296" i="2"/>
  <c r="V297" i="2" l="1"/>
  <c r="W296" i="2"/>
  <c r="E297" i="3" l="1"/>
  <c r="F297" i="3"/>
  <c r="D297" i="3"/>
  <c r="X297" i="2" l="1"/>
  <c r="U297" i="2"/>
  <c r="W297" i="2" l="1"/>
  <c r="V298" i="2"/>
  <c r="F298" i="3" l="1"/>
  <c r="E298" i="3"/>
  <c r="D298" i="3" l="1"/>
  <c r="X298" i="2" l="1"/>
  <c r="U298" i="2"/>
  <c r="V299" i="2" l="1"/>
  <c r="W298" i="2"/>
  <c r="F299" i="3" l="1"/>
  <c r="E299" i="3"/>
  <c r="D299" i="3" l="1"/>
  <c r="X299" i="2" l="1"/>
  <c r="U299" i="2"/>
  <c r="V300" i="2" l="1"/>
  <c r="W299" i="2"/>
  <c r="E300" i="3" l="1"/>
  <c r="F300" i="3"/>
  <c r="D300" i="3" l="1"/>
  <c r="X300" i="2" l="1"/>
  <c r="U300" i="2"/>
  <c r="W300" i="2" l="1"/>
  <c r="V301" i="2"/>
  <c r="F301" i="3" l="1"/>
  <c r="E301" i="3"/>
  <c r="D301" i="3" l="1"/>
  <c r="X301" i="2" l="1"/>
  <c r="U301" i="2"/>
  <c r="V302" i="2" l="1"/>
  <c r="W301" i="2"/>
  <c r="F302" i="3" l="1"/>
  <c r="E302" i="3"/>
  <c r="D302" i="3" l="1"/>
  <c r="X302" i="2" l="1"/>
  <c r="U302" i="2"/>
  <c r="V303" i="2" l="1"/>
  <c r="W302" i="2"/>
  <c r="F303" i="3" l="1"/>
  <c r="E303" i="3"/>
  <c r="D303" i="3" l="1"/>
  <c r="X303" i="2" l="1"/>
  <c r="U303" i="2"/>
  <c r="W303" i="2" l="1"/>
  <c r="V304" i="2"/>
  <c r="E304" i="3" l="1"/>
  <c r="F304" i="3"/>
  <c r="D304" i="3" l="1"/>
  <c r="X304" i="2" l="1"/>
  <c r="U304" i="2"/>
  <c r="W304" i="2" l="1"/>
  <c r="V305" i="2"/>
  <c r="E305" i="3" l="1"/>
  <c r="F305" i="3"/>
  <c r="D305" i="3" l="1"/>
  <c r="X305" i="2" l="1"/>
  <c r="U305" i="2"/>
  <c r="W305" i="2" l="1"/>
  <c r="V306" i="2"/>
  <c r="F306" i="3" l="1"/>
  <c r="E306" i="3"/>
  <c r="D306" i="3" s="1"/>
  <c r="X306" i="2" l="1"/>
  <c r="U306" i="2"/>
  <c r="V307" i="2" l="1"/>
  <c r="W306" i="2"/>
  <c r="E307" i="3" l="1"/>
  <c r="F307" i="3"/>
  <c r="D307" i="3" l="1"/>
  <c r="X307" i="2" l="1"/>
  <c r="U307" i="2"/>
  <c r="W307" i="2" l="1"/>
  <c r="V308" i="2"/>
  <c r="F308" i="3" l="1"/>
  <c r="E308" i="3"/>
  <c r="D308" i="3" l="1"/>
  <c r="X308" i="2" l="1"/>
  <c r="U308" i="2"/>
  <c r="V309" i="2" l="1"/>
  <c r="W308" i="2"/>
  <c r="F309" i="3" l="1"/>
  <c r="E309" i="3"/>
  <c r="D309" i="3" s="1"/>
  <c r="U309" i="2" l="1"/>
  <c r="X309" i="2"/>
  <c r="V310" i="2" l="1"/>
  <c r="W309" i="2"/>
  <c r="F310" i="3" l="1"/>
  <c r="E310" i="3"/>
  <c r="D310" i="3" l="1"/>
  <c r="X310" i="2" l="1"/>
  <c r="U310" i="2"/>
  <c r="V311" i="2" l="1"/>
  <c r="W310" i="2"/>
  <c r="F311" i="3" l="1"/>
  <c r="E311" i="3"/>
  <c r="D311" i="3" l="1"/>
  <c r="U311" i="2" l="1"/>
  <c r="X311" i="2"/>
  <c r="V312" i="2" l="1"/>
  <c r="W311" i="2"/>
  <c r="E312" i="3" l="1"/>
  <c r="F312" i="3"/>
  <c r="D312" i="3" l="1"/>
  <c r="X312" i="2" l="1"/>
  <c r="U312" i="2"/>
  <c r="V313" i="2" l="1"/>
  <c r="W312" i="2"/>
  <c r="F313" i="3" l="1"/>
  <c r="E313" i="3"/>
  <c r="D313" i="3" l="1"/>
  <c r="X313" i="2" l="1"/>
  <c r="U313" i="2"/>
  <c r="V314" i="2" l="1"/>
  <c r="W313" i="2"/>
  <c r="E314" i="3" l="1"/>
  <c r="F314" i="3"/>
  <c r="D314" i="3" l="1"/>
  <c r="X314" i="2" l="1"/>
  <c r="U314" i="2"/>
  <c r="V315" i="2" l="1"/>
  <c r="W314" i="2"/>
  <c r="F315" i="3" l="1"/>
  <c r="E315" i="3"/>
  <c r="D315" i="3" l="1"/>
  <c r="X315" i="2" l="1"/>
  <c r="U315" i="2"/>
  <c r="W315" i="2" l="1"/>
  <c r="V316" i="2"/>
  <c r="F316" i="3" l="1"/>
  <c r="E316" i="3"/>
  <c r="D316" i="3" s="1"/>
  <c r="U316" i="2" l="1"/>
  <c r="X316" i="2"/>
  <c r="W316" i="2" l="1"/>
  <c r="V317" i="2"/>
  <c r="F317" i="3" l="1"/>
  <c r="E317" i="3"/>
  <c r="D317" i="3" l="1"/>
  <c r="X317" i="2" l="1"/>
  <c r="U317" i="2"/>
  <c r="V318" i="2" l="1"/>
  <c r="W317" i="2"/>
  <c r="E318" i="3" l="1"/>
  <c r="F318" i="3"/>
  <c r="D318" i="3" l="1"/>
  <c r="X318" i="2" l="1"/>
  <c r="U318" i="2"/>
  <c r="W318" i="2" l="1"/>
  <c r="V319" i="2"/>
  <c r="F319" i="3" l="1"/>
  <c r="E319" i="3"/>
  <c r="D319" i="3" s="1"/>
  <c r="U319" i="2" l="1"/>
  <c r="X319" i="2"/>
  <c r="W319" i="2" l="1"/>
  <c r="V320" i="2"/>
  <c r="F320" i="3" l="1"/>
  <c r="E320" i="3"/>
  <c r="D320" i="3" s="1"/>
  <c r="U320" i="2" l="1"/>
  <c r="X320" i="2"/>
  <c r="W320" i="2" l="1"/>
  <c r="V321" i="2"/>
  <c r="E321" i="3" l="1"/>
  <c r="D321" i="3" s="1"/>
  <c r="F321" i="3"/>
  <c r="X321" i="2" l="1"/>
  <c r="U321" i="2"/>
  <c r="V322" i="2" s="1"/>
  <c r="W321" i="2"/>
  <c r="E322" i="3" s="1"/>
  <c r="F322" i="3"/>
  <c r="D322" i="3" l="1"/>
  <c r="U322" i="2" l="1"/>
  <c r="X322" i="2"/>
  <c r="W322" i="2" l="1"/>
  <c r="V323" i="2"/>
  <c r="E323" i="3" l="1"/>
  <c r="F323" i="3"/>
  <c r="D323" i="3" l="1"/>
  <c r="U323" i="2"/>
  <c r="X323" i="2"/>
  <c r="W323" i="2" l="1"/>
  <c r="V324" i="2"/>
  <c r="F324" i="3" l="1"/>
  <c r="E324" i="3"/>
  <c r="D324" i="3" l="1"/>
  <c r="U324" i="2" l="1"/>
  <c r="X324" i="2"/>
  <c r="V325" i="2" l="1"/>
  <c r="W324" i="2"/>
  <c r="E325" i="3" l="1"/>
  <c r="F325" i="3"/>
  <c r="D325" i="3"/>
  <c r="X325" i="2" l="1"/>
  <c r="U325" i="2"/>
  <c r="W325" i="2" l="1"/>
  <c r="V326" i="2"/>
  <c r="F326" i="3" l="1"/>
  <c r="E326" i="3"/>
  <c r="D326" i="3" l="1"/>
  <c r="X326" i="2" l="1"/>
  <c r="U326" i="2"/>
  <c r="V327" i="2" l="1"/>
  <c r="W326" i="2"/>
  <c r="F327" i="3" l="1"/>
  <c r="E327" i="3"/>
  <c r="D327" i="3" l="1"/>
  <c r="X327" i="2" l="1"/>
  <c r="U327" i="2"/>
  <c r="V328" i="2" l="1"/>
  <c r="W327" i="2"/>
  <c r="F328" i="3" l="1"/>
  <c r="E328" i="3"/>
  <c r="D328" i="3" l="1"/>
  <c r="X328" i="2" l="1"/>
  <c r="U328" i="2"/>
  <c r="W328" i="2" l="1"/>
  <c r="V329" i="2"/>
  <c r="F329" i="3" l="1"/>
  <c r="E329" i="3"/>
  <c r="D329" i="3" l="1"/>
  <c r="U329" i="2" l="1"/>
  <c r="X329" i="2"/>
  <c r="V330" i="2" l="1"/>
  <c r="W329" i="2"/>
  <c r="F330" i="3" l="1"/>
  <c r="E330" i="3"/>
  <c r="D330" i="3" s="1"/>
  <c r="X330" i="2" l="1"/>
  <c r="U330" i="2"/>
  <c r="W330" i="2" l="1"/>
  <c r="V331" i="2"/>
  <c r="F331" i="3" l="1"/>
  <c r="E331" i="3"/>
  <c r="D331" i="3" l="1"/>
  <c r="X331" i="2" l="1"/>
  <c r="U331" i="2"/>
  <c r="W331" i="2" l="1"/>
  <c r="V332" i="2"/>
  <c r="E332" i="3" l="1"/>
  <c r="F332" i="3"/>
  <c r="D332" i="3" l="1"/>
  <c r="X332" i="2" l="1"/>
  <c r="U332" i="2"/>
  <c r="W332" i="2" l="1"/>
  <c r="V333" i="2"/>
  <c r="F333" i="3" l="1"/>
  <c r="E333" i="3"/>
  <c r="D333" i="3" l="1"/>
  <c r="X333" i="2" l="1"/>
  <c r="U333" i="2"/>
  <c r="V334" i="2" l="1"/>
  <c r="W333" i="2"/>
  <c r="E334" i="3" l="1"/>
  <c r="F334" i="3"/>
  <c r="D334" i="3" l="1"/>
  <c r="X334" i="2"/>
  <c r="U334" i="2"/>
  <c r="W334" i="2" l="1"/>
  <c r="V335" i="2"/>
  <c r="F335" i="3" l="1"/>
  <c r="E335" i="3"/>
  <c r="D335" i="3" l="1"/>
  <c r="U335" i="2" l="1"/>
  <c r="X335" i="2"/>
  <c r="V336" i="2" l="1"/>
  <c r="W335" i="2"/>
  <c r="F336" i="3" l="1"/>
  <c r="E336" i="3"/>
  <c r="D336" i="3" s="1"/>
  <c r="X336" i="2" l="1"/>
  <c r="U336" i="2"/>
  <c r="W336" i="2" l="1"/>
  <c r="V337" i="2"/>
  <c r="F337" i="3" l="1"/>
  <c r="E337" i="3"/>
  <c r="D337" i="3" l="1"/>
  <c r="X337" i="2" l="1"/>
  <c r="U337" i="2"/>
  <c r="V338" i="2" l="1"/>
  <c r="W337" i="2"/>
  <c r="F338" i="3" l="1"/>
  <c r="E338" i="3"/>
  <c r="D338" i="3" l="1"/>
  <c r="X338" i="2" l="1"/>
  <c r="U338" i="2"/>
  <c r="V339" i="2" l="1"/>
  <c r="W338" i="2"/>
  <c r="E339" i="3" l="1"/>
  <c r="F339" i="3"/>
  <c r="D339" i="3" l="1"/>
  <c r="X339" i="2" l="1"/>
  <c r="U339" i="2"/>
  <c r="W339" i="2" l="1"/>
  <c r="V340" i="2"/>
  <c r="E340" i="3" l="1"/>
  <c r="F340" i="3"/>
  <c r="D340" i="3" l="1"/>
  <c r="U340" i="2" l="1"/>
  <c r="X340" i="2"/>
  <c r="W340" i="2" l="1"/>
  <c r="V341" i="2"/>
  <c r="E341" i="3" l="1"/>
  <c r="D341" i="3" s="1"/>
  <c r="F341" i="3"/>
  <c r="X341" i="2" l="1"/>
  <c r="U341" i="2"/>
  <c r="V342" i="2" l="1"/>
  <c r="W341" i="2"/>
  <c r="F342" i="3" l="1"/>
  <c r="E342" i="3"/>
  <c r="D342" i="3" l="1"/>
  <c r="X342" i="2" l="1"/>
  <c r="U342" i="2"/>
  <c r="W342" i="2" l="1"/>
  <c r="V343" i="2"/>
  <c r="E343" i="3" l="1"/>
  <c r="D343" i="3" s="1"/>
  <c r="F343" i="3"/>
  <c r="U343" i="2" l="1"/>
  <c r="X343" i="2"/>
  <c r="W343" i="2" l="1"/>
  <c r="V344" i="2"/>
  <c r="F344" i="3" l="1"/>
  <c r="E344" i="3"/>
  <c r="D344" i="3" l="1"/>
  <c r="U344" i="2" l="1"/>
  <c r="X344" i="2"/>
  <c r="W344" i="2"/>
  <c r="V345" i="2"/>
  <c r="F345" i="3" l="1"/>
  <c r="E345" i="3"/>
  <c r="D345" i="3" l="1"/>
  <c r="X345" i="2" s="1"/>
  <c r="U345" i="2"/>
  <c r="W345" i="2" l="1"/>
  <c r="V346" i="2"/>
  <c r="F346" i="3" l="1"/>
  <c r="E346" i="3"/>
  <c r="D346" i="3" l="1"/>
  <c r="X346" i="2" l="1"/>
  <c r="U346" i="2"/>
  <c r="V347" i="2" l="1"/>
  <c r="W346" i="2"/>
  <c r="F347" i="3" l="1"/>
  <c r="E347" i="3"/>
  <c r="D347" i="3" s="1"/>
  <c r="U347" i="2" l="1"/>
  <c r="X347" i="2"/>
  <c r="W347" i="2"/>
  <c r="V348" i="2"/>
  <c r="F348" i="3" l="1"/>
  <c r="E348" i="3"/>
  <c r="D348" i="3" l="1"/>
  <c r="X348" i="2" l="1"/>
  <c r="U348" i="2"/>
  <c r="W348" i="2" l="1"/>
  <c r="E349" i="3" s="1"/>
  <c r="V349" i="2"/>
  <c r="F349" i="3"/>
  <c r="D349" i="3" l="1"/>
  <c r="X349" i="2" s="1"/>
  <c r="U349" i="2"/>
  <c r="V350" i="2" l="1"/>
  <c r="W349" i="2"/>
  <c r="F350" i="3" l="1"/>
  <c r="E350" i="3"/>
  <c r="D350" i="3" l="1"/>
  <c r="X350" i="2" l="1"/>
  <c r="U350" i="2"/>
  <c r="W350" i="2" l="1"/>
  <c r="V351" i="2"/>
  <c r="E351" i="3" l="1"/>
  <c r="F351" i="3"/>
  <c r="D351" i="3" l="1"/>
  <c r="X351" i="2" l="1"/>
  <c r="U351" i="2"/>
  <c r="V352" i="2" l="1"/>
  <c r="W351" i="2"/>
  <c r="E352" i="3" l="1"/>
  <c r="F352" i="3"/>
  <c r="D352" i="3" l="1"/>
  <c r="X352" i="2" l="1"/>
  <c r="U352" i="2"/>
  <c r="W352" i="2" l="1"/>
  <c r="V353" i="2"/>
  <c r="E353" i="3" l="1"/>
  <c r="F353" i="3"/>
  <c r="D353" i="3" l="1"/>
  <c r="X353" i="2" l="1"/>
  <c r="U353" i="2"/>
  <c r="W353" i="2" l="1"/>
  <c r="V354" i="2"/>
  <c r="E354" i="3" l="1"/>
  <c r="F354" i="3"/>
  <c r="D354" i="3" l="1"/>
  <c r="X354" i="2" l="1"/>
  <c r="U354" i="2"/>
  <c r="V355" i="2" l="1"/>
  <c r="W354" i="2"/>
  <c r="F355" i="3" l="1"/>
  <c r="E355" i="3"/>
  <c r="D355" i="3" s="1"/>
  <c r="X355" i="2" l="1"/>
  <c r="U355" i="2"/>
  <c r="V356" i="2" l="1"/>
  <c r="W355" i="2"/>
  <c r="F356" i="3" l="1"/>
  <c r="E356" i="3"/>
  <c r="D356" i="3" l="1"/>
  <c r="X356" i="2"/>
  <c r="U356" i="2"/>
  <c r="W356" i="2" l="1"/>
  <c r="V357" i="2"/>
  <c r="E357" i="3" l="1"/>
  <c r="F357" i="3"/>
  <c r="D357" i="3" l="1"/>
  <c r="X357" i="2" l="1"/>
  <c r="U357" i="2"/>
  <c r="W357" i="2" l="1"/>
  <c r="V358" i="2"/>
  <c r="F358" i="3" l="1"/>
  <c r="E358" i="3"/>
  <c r="D358" i="3" l="1"/>
  <c r="X358" i="2" l="1"/>
  <c r="U358" i="2"/>
  <c r="W358" i="2" l="1"/>
  <c r="V359" i="2"/>
  <c r="E359" i="3" l="1"/>
  <c r="F359" i="3"/>
  <c r="D359" i="3" l="1"/>
  <c r="X359" i="2" l="1"/>
  <c r="U359" i="2"/>
  <c r="V360" i="2" l="1"/>
  <c r="W359" i="2"/>
  <c r="F360" i="3" l="1"/>
  <c r="E360" i="3"/>
  <c r="D360" i="3" l="1"/>
  <c r="U360" i="2" l="1"/>
  <c r="X360" i="2"/>
  <c r="W360" i="2" l="1"/>
  <c r="V361" i="2"/>
  <c r="E361" i="3" l="1"/>
  <c r="F361" i="3"/>
  <c r="D361" i="3" l="1"/>
  <c r="X361" i="2" l="1"/>
  <c r="U361" i="2"/>
  <c r="V362" i="2" l="1"/>
  <c r="W361" i="2"/>
  <c r="E362" i="3" l="1"/>
  <c r="F362" i="3"/>
  <c r="D362" i="3" l="1"/>
  <c r="X362" i="2"/>
  <c r="U362" i="2"/>
  <c r="V363" i="2" l="1"/>
  <c r="W362" i="2"/>
  <c r="E363" i="3" l="1"/>
  <c r="F363" i="3"/>
  <c r="D363" i="3" l="1"/>
  <c r="U363" i="2" l="1"/>
  <c r="V364" i="2" s="1"/>
  <c r="X363" i="2"/>
  <c r="W363" i="2"/>
  <c r="E364" i="3" l="1"/>
  <c r="F364" i="3"/>
  <c r="D364" i="3" l="1"/>
  <c r="X364" i="2" l="1"/>
  <c r="U364" i="2"/>
  <c r="W364" i="2" l="1"/>
  <c r="V365" i="2"/>
  <c r="E365" i="3" l="1"/>
  <c r="F365" i="3"/>
  <c r="D365" i="3" s="1"/>
  <c r="X365" i="2" l="1"/>
  <c r="U365" i="2"/>
  <c r="V366" i="2" l="1"/>
  <c r="W365" i="2"/>
  <c r="F366" i="3" l="1"/>
  <c r="E366" i="3"/>
  <c r="D366" i="3" l="1"/>
  <c r="X366" i="2" l="1"/>
  <c r="U366" i="2"/>
  <c r="W366" i="2" l="1"/>
  <c r="V367" i="2"/>
  <c r="F367" i="3" l="1"/>
  <c r="E367" i="3"/>
  <c r="D367" i="3" l="1"/>
  <c r="X367" i="2" l="1"/>
  <c r="U367" i="2"/>
  <c r="V368" i="2" l="1"/>
  <c r="W367" i="2"/>
  <c r="E368" i="3" l="1"/>
  <c r="F368" i="3"/>
  <c r="D368" i="3" s="1"/>
  <c r="X368" i="2"/>
  <c r="U368" i="2"/>
  <c r="W368" i="2" l="1"/>
  <c r="V369" i="2"/>
  <c r="F369" i="3"/>
  <c r="E369" i="3"/>
  <c r="D369" i="3" l="1"/>
  <c r="X369" i="2" l="1"/>
  <c r="U369" i="2"/>
  <c r="W369" i="2" l="1"/>
  <c r="V370" i="2"/>
  <c r="E370" i="3" l="1"/>
  <c r="F370" i="3"/>
  <c r="D370" i="3" l="1"/>
  <c r="X370" i="2" l="1"/>
  <c r="U370" i="2"/>
  <c r="V371" i="2" l="1"/>
  <c r="W370" i="2"/>
  <c r="E371" i="3" l="1"/>
  <c r="F371" i="3"/>
  <c r="D371" i="3" l="1"/>
  <c r="X371" i="2" l="1"/>
  <c r="U371" i="2"/>
  <c r="W371" i="2" l="1"/>
  <c r="V372" i="2"/>
  <c r="E372" i="3" l="1"/>
  <c r="F372" i="3"/>
  <c r="D372" i="3" l="1"/>
  <c r="X372" i="2" l="1"/>
  <c r="U372" i="2"/>
  <c r="V373" i="2" l="1"/>
  <c r="W372" i="2"/>
  <c r="E373" i="3" l="1"/>
  <c r="F373" i="3"/>
  <c r="D373" i="3" l="1"/>
  <c r="X373" i="2" l="1"/>
  <c r="U373" i="2"/>
  <c r="W373" i="2" l="1"/>
  <c r="V374" i="2"/>
  <c r="E374" i="3" l="1"/>
  <c r="F374" i="3"/>
  <c r="D374" i="3" l="1"/>
  <c r="X374" i="2" l="1"/>
  <c r="U374" i="2"/>
  <c r="V375" i="2" l="1"/>
  <c r="W374" i="2"/>
  <c r="E375" i="3" l="1"/>
  <c r="F375" i="3"/>
  <c r="D375" i="3" l="1"/>
  <c r="U375" i="2" l="1"/>
  <c r="X375" i="2"/>
  <c r="V376" i="2" l="1"/>
  <c r="W375" i="2"/>
  <c r="E376" i="3" l="1"/>
  <c r="F376" i="3"/>
  <c r="D376" i="3" l="1"/>
  <c r="U376" i="2"/>
  <c r="X376" i="2"/>
  <c r="W376" i="2" l="1"/>
  <c r="V377" i="2"/>
  <c r="E377" i="3" l="1"/>
  <c r="F377" i="3"/>
  <c r="D377" i="3" l="1"/>
  <c r="X377" i="2" l="1"/>
  <c r="U377" i="2"/>
  <c r="V378" i="2" l="1"/>
  <c r="W377" i="2"/>
  <c r="E378" i="3" l="1"/>
  <c r="F378" i="3"/>
  <c r="D378" i="3" l="1"/>
  <c r="X378" i="2" l="1"/>
  <c r="U378" i="2"/>
  <c r="V379" i="2" l="1"/>
  <c r="W378" i="2"/>
  <c r="F379" i="3" l="1"/>
  <c r="E379" i="3"/>
  <c r="D379" i="3" l="1"/>
  <c r="X379" i="2" l="1"/>
  <c r="U379" i="2"/>
  <c r="W379" i="2" l="1"/>
  <c r="V380" i="2"/>
  <c r="F380" i="3" l="1"/>
  <c r="E380" i="3"/>
  <c r="D380" i="3" l="1"/>
  <c r="X380" i="2" l="1"/>
  <c r="U380" i="2"/>
  <c r="V381" i="2" l="1"/>
  <c r="W380" i="2"/>
  <c r="F381" i="3" l="1"/>
  <c r="E381" i="3"/>
  <c r="D381" i="3" l="1"/>
  <c r="X381" i="2" l="1"/>
  <c r="U381" i="2"/>
  <c r="W381" i="2" l="1"/>
  <c r="V382" i="2"/>
  <c r="E382" i="3" l="1"/>
  <c r="D382" i="3" s="1"/>
  <c r="F382" i="3"/>
  <c r="U382" i="2" l="1"/>
  <c r="X382" i="2"/>
  <c r="V383" i="2" l="1"/>
  <c r="W382" i="2"/>
  <c r="F383" i="3" l="1"/>
  <c r="E383" i="3"/>
  <c r="D383" i="3" s="1"/>
  <c r="X383" i="2" l="1"/>
  <c r="U383" i="2"/>
  <c r="W383" i="2" l="1"/>
  <c r="V384" i="2"/>
  <c r="F384" i="3" l="1"/>
  <c r="E384" i="3"/>
  <c r="D384" i="3" l="1"/>
  <c r="U384" i="2"/>
  <c r="X384" i="2"/>
  <c r="V385" i="2" l="1"/>
  <c r="W384" i="2"/>
  <c r="F385" i="3" l="1"/>
  <c r="E385" i="3"/>
  <c r="D385" i="3" l="1"/>
  <c r="X385" i="2" l="1"/>
  <c r="U385" i="2"/>
  <c r="V386" i="2" l="1"/>
  <c r="W385" i="2"/>
  <c r="E386" i="3"/>
  <c r="F386" i="3"/>
  <c r="D386" i="3" l="1"/>
  <c r="X386" i="2" l="1"/>
  <c r="U386" i="2"/>
  <c r="V387" i="2" l="1"/>
  <c r="W386" i="2"/>
  <c r="E387" i="3" l="1"/>
  <c r="F387" i="3"/>
  <c r="D387" i="3" l="1"/>
  <c r="U387" i="2" l="1"/>
  <c r="X387" i="2"/>
  <c r="V388" i="2" l="1"/>
  <c r="W387" i="2"/>
  <c r="E388" i="3" l="1"/>
  <c r="F388" i="3"/>
  <c r="D388" i="3" l="1"/>
  <c r="X388" i="2" l="1"/>
  <c r="U388" i="2"/>
  <c r="W388" i="2" l="1"/>
  <c r="V389" i="2"/>
  <c r="E389" i="3" l="1"/>
  <c r="F389" i="3"/>
  <c r="D389" i="3" l="1"/>
  <c r="X389" i="2" s="1"/>
  <c r="U389" i="2"/>
  <c r="V390" i="2" l="1"/>
  <c r="W389" i="2"/>
  <c r="E390" i="3" l="1"/>
  <c r="F390" i="3"/>
  <c r="D390" i="3" l="1"/>
  <c r="U390" i="2" l="1"/>
  <c r="X390" i="2"/>
  <c r="V391" i="2" l="1"/>
  <c r="W390" i="2"/>
  <c r="E391" i="3"/>
  <c r="F391" i="3"/>
  <c r="D391" i="3" l="1"/>
  <c r="X391" i="2" l="1"/>
  <c r="U391" i="2"/>
  <c r="V392" i="2" l="1"/>
  <c r="W391" i="2"/>
  <c r="E392" i="3" l="1"/>
  <c r="F392" i="3"/>
  <c r="D392" i="3" s="1"/>
  <c r="X392" i="2" l="1"/>
  <c r="U392" i="2"/>
  <c r="V393" i="2" l="1"/>
  <c r="W392" i="2"/>
  <c r="F393" i="3" l="1"/>
  <c r="E393" i="3"/>
  <c r="D393" i="3" l="1"/>
  <c r="X393" i="2" l="1"/>
  <c r="U393" i="2"/>
  <c r="W393" i="2" l="1"/>
  <c r="V394" i="2"/>
  <c r="E394" i="3" l="1"/>
  <c r="F394" i="3"/>
  <c r="D394" i="3" l="1"/>
  <c r="U394" i="2" l="1"/>
  <c r="X394" i="2"/>
  <c r="V395" i="2" l="1"/>
  <c r="W394" i="2"/>
  <c r="F395" i="3" s="1"/>
  <c r="E395" i="3"/>
  <c r="D395" i="3" l="1"/>
  <c r="U395" i="2" l="1"/>
  <c r="W395" i="2" s="1"/>
  <c r="X395" i="2"/>
  <c r="V396" i="2"/>
  <c r="E396" i="3" l="1"/>
  <c r="F396" i="3"/>
  <c r="D396" i="3" l="1"/>
  <c r="X396" i="2" l="1"/>
  <c r="U396" i="2"/>
  <c r="V397" i="2" l="1"/>
  <c r="W396" i="2"/>
  <c r="F397" i="3" l="1"/>
  <c r="E397" i="3"/>
  <c r="D397" i="3" l="1"/>
  <c r="U397" i="2" l="1"/>
  <c r="X397" i="2"/>
  <c r="W397" i="2"/>
  <c r="V398" i="2"/>
  <c r="F398" i="3" l="1"/>
  <c r="E398" i="3"/>
  <c r="D398" i="3" l="1"/>
  <c r="U398" i="2"/>
  <c r="X398" i="2"/>
  <c r="W398" i="2" l="1"/>
  <c r="F399" i="3" s="1"/>
  <c r="V399" i="2"/>
  <c r="E399" i="3"/>
  <c r="D399" i="3" l="1"/>
  <c r="U399" i="2" s="1"/>
  <c r="X399" i="2"/>
  <c r="X2" i="2" s="1"/>
  <c r="C3" i="1" s="1"/>
  <c r="D3" i="1" s="1"/>
  <c r="C23" i="1" l="1"/>
  <c r="D23" i="1" s="1"/>
  <c r="W399" i="2"/>
  <c r="AM399" i="2"/>
  <c r="AN399" i="2" s="1"/>
  <c r="E400" i="3" l="1"/>
  <c r="F400" i="3"/>
  <c r="AN2" i="2"/>
  <c r="C7" i="1" s="1"/>
  <c r="D7" i="1" s="1"/>
  <c r="E7" i="1"/>
  <c r="D400" i="3" l="1"/>
</calcChain>
</file>

<file path=xl/sharedStrings.xml><?xml version="1.0" encoding="utf-8"?>
<sst xmlns="http://schemas.openxmlformats.org/spreadsheetml/2006/main" count="87" uniqueCount="72">
  <si>
    <t>Hurdle</t>
  </si>
  <si>
    <t>m</t>
  </si>
  <si>
    <t>Data</t>
  </si>
  <si>
    <t>n</t>
  </si>
  <si>
    <t>Desembolso (-)</t>
  </si>
  <si>
    <t>Levantamento</t>
  </si>
  <si>
    <t>Carteira 18 dias</t>
  </si>
  <si>
    <t>Carteira 20 dias</t>
  </si>
  <si>
    <t>Carteira 22 dias</t>
  </si>
  <si>
    <t>P&amp;L Ativos</t>
  </si>
  <si>
    <t>Caixa</t>
  </si>
  <si>
    <t>Rec LM</t>
  </si>
  <si>
    <t>PL Fundo</t>
  </si>
  <si>
    <t>TIR Fluxo</t>
  </si>
  <si>
    <t>TIR Fundo</t>
  </si>
  <si>
    <t>a.m.</t>
  </si>
  <si>
    <t>a.a.</t>
  </si>
  <si>
    <t>TIR Senior</t>
  </si>
  <si>
    <t>TIR Meza</t>
  </si>
  <si>
    <t>TIR Jr</t>
  </si>
  <si>
    <t>Lucro</t>
  </si>
  <si>
    <t>%</t>
  </si>
  <si>
    <t>R$</t>
  </si>
  <si>
    <t>Sênior</t>
  </si>
  <si>
    <t>Sub Meza</t>
  </si>
  <si>
    <t>Sub Jr</t>
  </si>
  <si>
    <t>Única</t>
  </si>
  <si>
    <t>CDI</t>
  </si>
  <si>
    <t>Senior CDI+</t>
  </si>
  <si>
    <t>Meza CDI+</t>
  </si>
  <si>
    <t>MOIC</t>
  </si>
  <si>
    <t>Hipóteses</t>
  </si>
  <si>
    <t>Média compra</t>
  </si>
  <si>
    <t>Média venda</t>
  </si>
  <si>
    <t>Taxa antecipação</t>
  </si>
  <si>
    <t>Custos</t>
  </si>
  <si>
    <t>Consultoria</t>
  </si>
  <si>
    <t>Taxa de Gestão</t>
  </si>
  <si>
    <t>Taxa de Adm</t>
  </si>
  <si>
    <t>Taxa de Performance</t>
  </si>
  <si>
    <t>Perf Over</t>
  </si>
  <si>
    <t>Mês</t>
  </si>
  <si>
    <t>Ano</t>
  </si>
  <si>
    <t>Fluxo</t>
  </si>
  <si>
    <t>TOTAL</t>
  </si>
  <si>
    <t>Custo Adm</t>
  </si>
  <si>
    <t>Custo Gestão</t>
  </si>
  <si>
    <t>Performance</t>
  </si>
  <si>
    <t>Outros Custos</t>
  </si>
  <si>
    <t>Outros</t>
  </si>
  <si>
    <t>Integralização Sr.</t>
  </si>
  <si>
    <t>Juros Sr.</t>
  </si>
  <si>
    <t>Amortização Sr.</t>
  </si>
  <si>
    <t>PL Sr.</t>
  </si>
  <si>
    <t>Fluxo Sr.</t>
  </si>
  <si>
    <t>Subordinada Júnior</t>
  </si>
  <si>
    <t>Subodinada Mezanino</t>
  </si>
  <si>
    <t>Integralização Meza</t>
  </si>
  <si>
    <t>Juros Meza</t>
  </si>
  <si>
    <t>Amortização Meza</t>
  </si>
  <si>
    <t>PL Meza</t>
  </si>
  <si>
    <t>Fluxo Meza</t>
  </si>
  <si>
    <t>Integralização Jr.</t>
  </si>
  <si>
    <t>Amortização Jr.</t>
  </si>
  <si>
    <t>Fluxo Jr.</t>
  </si>
  <si>
    <t>Originações por dia</t>
  </si>
  <si>
    <t>% 18 dias</t>
  </si>
  <si>
    <t>% 20 dias</t>
  </si>
  <si>
    <t>% 22 dias</t>
  </si>
  <si>
    <t>Hurdle Sr</t>
  </si>
  <si>
    <t>Hurdle Meza</t>
  </si>
  <si>
    <t>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</si>
</sst>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6" xfId="0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9" fontId="0" fillId="2" borderId="10" xfId="2" applyFont="1" applyFill="1" applyBorder="1"/>
    <xf numFmtId="9" fontId="0" fillId="2" borderId="12" xfId="2" applyFont="1" applyFill="1" applyBorder="1"/>
    <xf numFmtId="9" fontId="0" fillId="2" borderId="13" xfId="2" applyFont="1" applyFill="1" applyBorder="1"/>
    <xf numFmtId="0" fontId="2" fillId="0" borderId="2" xfId="0" applyFont="1" applyBorder="1"/>
    <xf numFmtId="9" fontId="0" fillId="0" borderId="9" xfId="0" applyNumberFormat="1" applyBorder="1"/>
    <xf numFmtId="0" fontId="0" fillId="2" borderId="15" xfId="0" applyFill="1" applyBorder="1"/>
    <xf numFmtId="0" fontId="0" fillId="0" borderId="11" xfId="0" applyBorder="1"/>
    <xf numFmtId="9" fontId="0" fillId="2" borderId="11" xfId="2" applyFont="1" applyFill="1" applyBorder="1"/>
    <xf numFmtId="44" fontId="0" fillId="2" borderId="15" xfId="1" applyFont="1" applyFill="1" applyBorder="1"/>
    <xf numFmtId="44" fontId="0" fillId="0" borderId="11" xfId="1" applyFont="1" applyBorder="1"/>
    <xf numFmtId="44" fontId="0" fillId="0" borderId="14" xfId="1" applyFont="1" applyBorder="1"/>
    <xf numFmtId="44" fontId="0" fillId="0" borderId="15" xfId="1" applyFont="1" applyBorder="1"/>
    <xf numFmtId="44" fontId="0" fillId="2" borderId="17" xfId="1" applyFont="1" applyFill="1" applyBorder="1"/>
    <xf numFmtId="44" fontId="0" fillId="2" borderId="11" xfId="1" applyFont="1" applyFill="1" applyBorder="1"/>
    <xf numFmtId="10" fontId="0" fillId="3" borderId="11" xfId="2" applyNumberFormat="1" applyFont="1" applyFill="1" applyBorder="1"/>
    <xf numFmtId="44" fontId="0" fillId="2" borderId="19" xfId="1" applyFont="1" applyFill="1" applyBorder="1"/>
    <xf numFmtId="44" fontId="0" fillId="2" borderId="20" xfId="1" applyFont="1" applyFill="1" applyBorder="1"/>
    <xf numFmtId="44" fontId="0" fillId="2" borderId="14" xfId="1" applyFont="1" applyFill="1" applyBorder="1"/>
    <xf numFmtId="0" fontId="0" fillId="3" borderId="0" xfId="0" applyFill="1"/>
    <xf numFmtId="9" fontId="0" fillId="2" borderId="14" xfId="2" applyFont="1" applyFill="1" applyBorder="1"/>
    <xf numFmtId="44" fontId="0" fillId="0" borderId="11" xfId="0" applyNumberFormat="1" applyBorder="1"/>
    <xf numFmtId="44" fontId="0" fillId="0" borderId="0" xfId="1" applyFont="1" applyBorder="1"/>
    <xf numFmtId="44" fontId="0" fillId="0" borderId="1" xfId="0" applyNumberFormat="1" applyBorder="1"/>
    <xf numFmtId="0" fontId="0" fillId="3" borderId="12" xfId="0" applyFill="1" applyBorder="1"/>
    <xf numFmtId="44" fontId="0" fillId="0" borderId="1" xfId="1" applyFont="1" applyBorder="1"/>
    <xf numFmtId="10" fontId="0" fillId="2" borderId="15" xfId="2" applyNumberFormat="1" applyFont="1" applyFill="1" applyBorder="1"/>
    <xf numFmtId="10" fontId="0" fillId="0" borderId="10" xfId="2" applyNumberFormat="1" applyFont="1" applyBorder="1"/>
    <xf numFmtId="10" fontId="0" fillId="0" borderId="12" xfId="2" applyNumberFormat="1" applyFont="1" applyBorder="1"/>
    <xf numFmtId="10" fontId="0" fillId="2" borderId="11" xfId="2" applyNumberFormat="1" applyFont="1" applyFill="1" applyBorder="1"/>
    <xf numFmtId="10" fontId="0" fillId="0" borderId="13" xfId="2" applyNumberFormat="1" applyFont="1" applyBorder="1"/>
    <xf numFmtId="10" fontId="0" fillId="0" borderId="0" xfId="0" applyNumberFormat="1"/>
    <xf numFmtId="10" fontId="0" fillId="0" borderId="4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5" xfId="0" applyBorder="1"/>
    <xf numFmtId="44" fontId="0" fillId="0" borderId="25" xfId="0" applyNumberFormat="1" applyBorder="1"/>
    <xf numFmtId="44" fontId="0" fillId="0" borderId="6" xfId="0" applyNumberFormat="1" applyBorder="1"/>
    <xf numFmtId="44" fontId="0" fillId="0" borderId="25" xfId="1" applyFont="1" applyBorder="1"/>
    <xf numFmtId="44" fontId="0" fillId="3" borderId="0" xfId="0" applyNumberFormat="1" applyFill="1"/>
    <xf numFmtId="44" fontId="0" fillId="3" borderId="0" xfId="1" applyFont="1" applyFill="1" applyBorder="1"/>
    <xf numFmtId="0" fontId="0" fillId="0" borderId="15" xfId="0" applyBorder="1" applyAlignment="1">
      <alignment horizontal="center"/>
    </xf>
    <xf numFmtId="14" fontId="0" fillId="0" borderId="11" xfId="0" applyNumberFormat="1" applyBorder="1"/>
    <xf numFmtId="0" fontId="0" fillId="0" borderId="10" xfId="0" applyBorder="1" applyAlignment="1">
      <alignment horizontal="center"/>
    </xf>
    <xf numFmtId="44" fontId="0" fillId="0" borderId="12" xfId="0" applyNumberFormat="1" applyBorder="1"/>
    <xf numFmtId="44" fontId="0" fillId="0" borderId="12" xfId="1" applyFont="1" applyBorder="1"/>
    <xf numFmtId="0" fontId="0" fillId="3" borderId="10" xfId="0" applyFill="1" applyBorder="1"/>
    <xf numFmtId="0" fontId="2" fillId="3" borderId="2" xfId="0" applyFont="1" applyFill="1" applyBorder="1"/>
    <xf numFmtId="10" fontId="0" fillId="0" borderId="14" xfId="2" applyNumberFormat="1" applyFont="1" applyBorder="1"/>
    <xf numFmtId="10" fontId="0" fillId="0" borderId="11" xfId="2" applyNumberFormat="1" applyFont="1" applyBorder="1"/>
    <xf numFmtId="2" fontId="0" fillId="0" borderId="9" xfId="0" applyNumberFormat="1" applyBorder="1"/>
    <xf numFmtId="44" fontId="0" fillId="0" borderId="17" xfId="0" applyNumberFormat="1" applyBorder="1"/>
    <xf numFmtId="10" fontId="0" fillId="0" borderId="1" xfId="2" applyNumberFormat="1" applyFont="1" applyBorder="1"/>
    <xf numFmtId="10" fontId="0" fillId="0" borderId="8" xfId="2" applyNumberFormat="1" applyFont="1" applyBorder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1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4" borderId="0" xfId="0" applyNumberFormat="1" applyFont="1" applyFill="1"/>
    <xf numFmtId="0" fontId="2" fillId="0" borderId="17" xfId="0" applyFont="1" applyBorder="1" applyAlignment="1">
      <alignment horizontal="center"/>
    </xf>
    <xf numFmtId="44" fontId="2" fillId="0" borderId="1" xfId="1" applyFont="1" applyBorder="1"/>
    <xf numFmtId="44" fontId="2" fillId="0" borderId="11" xfId="1" applyFont="1" applyBorder="1"/>
    <xf numFmtId="44" fontId="2" fillId="0" borderId="12" xfId="0" applyNumberFormat="1" applyFont="1" applyBorder="1"/>
    <xf numFmtId="9" fontId="0" fillId="3" borderId="0" xfId="0" applyNumberFormat="1" applyFill="1"/>
    <xf numFmtId="0" fontId="2" fillId="0" borderId="9" xfId="0" applyFont="1" applyBorder="1" applyAlignment="1">
      <alignment horizontal="center"/>
    </xf>
    <xf numFmtId="44" fontId="0" fillId="0" borderId="0" xfId="0" applyNumberFormat="1"/>
    <xf numFmtId="0" fontId="0" fillId="0" borderId="14" xfId="0" applyBorder="1"/>
    <xf numFmtId="44" fontId="0" fillId="2" borderId="12" xfId="1" applyFont="1" applyFill="1" applyBorder="1"/>
    <xf numFmtId="44" fontId="0" fillId="2" borderId="1" xfId="1" applyFont="1" applyFill="1" applyBorder="1"/>
    <xf numFmtId="44" fontId="0" fillId="0" borderId="12" xfId="1" applyFont="1" applyFill="1" applyBorder="1"/>
    <xf numFmtId="44" fontId="0" fillId="2" borderId="12" xfId="0" applyNumberFormat="1" applyFill="1" applyBorder="1"/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1CC0-D903-4FA9-BEC9-2AAD5ABA2D32}">
  <dimension ref="A1:AW23"/>
  <sheetViews>
    <sheetView workbookViewId="0">
      <selection activeCell="I8" sqref="I8"/>
    </sheetView>
  </sheetViews>
  <sheetFormatPr defaultRowHeight="15" x14ac:dyDescent="0.25"/>
  <cols>
    <col min="1" max="1" width="8.85546875" style="27"/>
    <col min="2" max="2" width="11.28515625" style="27" customWidth="1"/>
    <col min="3" max="3" width="10.140625" style="27" bestFit="1" customWidth="1"/>
    <col min="4" max="4" width="15.85546875" style="27" bestFit="1" customWidth="1"/>
    <col min="5" max="5" width="16.5703125" style="27" bestFit="1" customWidth="1"/>
    <col min="6" max="7" width="8.85546875" style="27"/>
    <col min="8" max="8" width="18.140625" style="27" bestFit="1" customWidth="1"/>
    <col min="9" max="9" width="11.85546875" style="27" bestFit="1" customWidth="1"/>
    <col min="10" max="10" width="12.85546875" style="27" bestFit="1" customWidth="1"/>
    <col min="11" max="49" width="8.85546875" style="27"/>
  </cols>
  <sheetData>
    <row r="1" spans="2:10" s="27" customFormat="1" ht="15.75" thickBot="1" x14ac:dyDescent="0.3"/>
    <row r="2" spans="2:10" s="27" customFormat="1" ht="15.75" thickBot="1" x14ac:dyDescent="0.3">
      <c r="B2"/>
      <c r="C2" s="42" t="s">
        <v>15</v>
      </c>
      <c r="D2" s="41" t="s">
        <v>16</v>
      </c>
      <c r="E2" s="43" t="s">
        <v>20</v>
      </c>
      <c r="H2" s="12" t="s">
        <v>31</v>
      </c>
      <c r="I2"/>
    </row>
    <row r="3" spans="2:10" s="27" customFormat="1" x14ac:dyDescent="0.25">
      <c r="B3" s="3" t="s">
        <v>13</v>
      </c>
      <c r="C3" s="35">
        <f>((1+Fundo!X2)^30)-1</f>
        <v>1.7423267969936651E-2</v>
      </c>
      <c r="D3" s="40">
        <f>((1+C3)^12)-1</f>
        <v>0.23032538877317421</v>
      </c>
      <c r="E3" s="20"/>
      <c r="H3" s="6" t="s">
        <v>32</v>
      </c>
      <c r="I3" s="17">
        <v>1678</v>
      </c>
    </row>
    <row r="4" spans="2:10" s="27" customFormat="1" x14ac:dyDescent="0.25">
      <c r="B4" s="4" t="s">
        <v>14</v>
      </c>
      <c r="C4" s="7"/>
      <c r="D4" s="61"/>
      <c r="E4" s="18"/>
      <c r="H4" s="7" t="s">
        <v>33</v>
      </c>
      <c r="I4" s="22">
        <v>1750</v>
      </c>
    </row>
    <row r="5" spans="2:10" s="27" customFormat="1" x14ac:dyDescent="0.25">
      <c r="B5" s="4" t="s">
        <v>17</v>
      </c>
      <c r="C5" s="36">
        <f>((1+Fundo!AD2)^30)-1</f>
        <v>1.3841877105180034E-2</v>
      </c>
      <c r="D5" s="61">
        <f t="shared" ref="D5:D7" si="0">((1+C5)^12)-1</f>
        <v>0.17934999999999213</v>
      </c>
      <c r="E5" s="18">
        <f>Fundo!AD5+Fundo!AD399</f>
        <v>118720.80692700052</v>
      </c>
      <c r="H5" s="7" t="s">
        <v>34</v>
      </c>
      <c r="I5" s="23">
        <f>I4/I3-1</f>
        <v>4.2908224076281254E-2</v>
      </c>
    </row>
    <row r="6" spans="2:10" s="27" customFormat="1" x14ac:dyDescent="0.25">
      <c r="B6" s="4" t="s">
        <v>18</v>
      </c>
      <c r="C6" s="36">
        <f>((1+Fundo!AJ2)^30)-1</f>
        <v>1.5467976434529573E-2</v>
      </c>
      <c r="D6" s="61">
        <f t="shared" si="0"/>
        <v>0.20224999999998294</v>
      </c>
      <c r="E6" s="18">
        <f>Fundo!AJ5+Fundo!AJ399</f>
        <v>22334.752829530509</v>
      </c>
      <c r="H6" s="7" t="s">
        <v>20</v>
      </c>
      <c r="I6" s="18">
        <f>I4-I3</f>
        <v>72</v>
      </c>
    </row>
    <row r="7" spans="2:10" s="27" customFormat="1" ht="15.75" thickBot="1" x14ac:dyDescent="0.3">
      <c r="B7" s="5" t="s">
        <v>19</v>
      </c>
      <c r="C7" s="38">
        <f>((1+Fundo!AN2)^30)-1</f>
        <v>2.1937257864756976E-2</v>
      </c>
      <c r="D7" s="62">
        <f t="shared" si="0"/>
        <v>0.29745049411138402</v>
      </c>
      <c r="E7" s="19">
        <f>Fundo!AN5+Fundo!AN399</f>
        <v>98926.464331667987</v>
      </c>
      <c r="H7" s="8"/>
      <c r="I7" s="82"/>
      <c r="J7"/>
    </row>
    <row r="8" spans="2:10" s="27" customFormat="1" ht="15.75" thickBot="1" x14ac:dyDescent="0.3">
      <c r="H8" s="55" t="s">
        <v>65</v>
      </c>
      <c r="I8" s="14">
        <v>30</v>
      </c>
    </row>
    <row r="9" spans="2:10" s="27" customFormat="1" ht="15.75" thickBot="1" x14ac:dyDescent="0.3">
      <c r="B9"/>
      <c r="C9" s="80" t="s">
        <v>21</v>
      </c>
      <c r="D9" s="75" t="s">
        <v>22</v>
      </c>
      <c r="E9"/>
      <c r="H9" s="7" t="s">
        <v>66</v>
      </c>
      <c r="I9" s="16">
        <v>0.3</v>
      </c>
    </row>
    <row r="10" spans="2:10" s="27" customFormat="1" x14ac:dyDescent="0.25">
      <c r="B10" s="3" t="s">
        <v>23</v>
      </c>
      <c r="C10" s="9">
        <v>0.6</v>
      </c>
      <c r="D10" s="20">
        <f>$D$14*C10</f>
        <v>600000</v>
      </c>
      <c r="H10" s="7" t="s">
        <v>67</v>
      </c>
      <c r="I10" s="16">
        <v>0.3</v>
      </c>
    </row>
    <row r="11" spans="2:10" s="27" customFormat="1" ht="15.75" thickBot="1" x14ac:dyDescent="0.3">
      <c r="B11" s="4" t="s">
        <v>24</v>
      </c>
      <c r="C11" s="10">
        <v>0.1</v>
      </c>
      <c r="D11" s="18">
        <f t="shared" ref="D11:D12" si="1">$D$14*C11</f>
        <v>100000</v>
      </c>
      <c r="H11" s="8" t="s">
        <v>68</v>
      </c>
      <c r="I11" s="28">
        <v>0.4</v>
      </c>
    </row>
    <row r="12" spans="2:10" s="27" customFormat="1" ht="15.75" thickBot="1" x14ac:dyDescent="0.3">
      <c r="B12" s="5" t="s">
        <v>25</v>
      </c>
      <c r="C12" s="11">
        <v>0.3</v>
      </c>
      <c r="D12" s="19">
        <f t="shared" si="1"/>
        <v>300000</v>
      </c>
    </row>
    <row r="13" spans="2:10" s="27" customFormat="1" ht="15.75" thickBot="1" x14ac:dyDescent="0.3">
      <c r="H13" s="56" t="s">
        <v>35</v>
      </c>
    </row>
    <row r="14" spans="2:10" s="27" customFormat="1" ht="15.75" thickBot="1" x14ac:dyDescent="0.3">
      <c r="B14" s="12" t="s">
        <v>26</v>
      </c>
      <c r="C14" s="13">
        <v>1</v>
      </c>
      <c r="D14" s="21">
        <v>1000000</v>
      </c>
      <c r="H14" s="6" t="s">
        <v>36</v>
      </c>
      <c r="I14" s="34">
        <v>0.01</v>
      </c>
      <c r="J14"/>
    </row>
    <row r="15" spans="2:10" s="27" customFormat="1" ht="15.75" thickBot="1" x14ac:dyDescent="0.3">
      <c r="B15"/>
      <c r="C15"/>
      <c r="D15"/>
      <c r="H15" s="7" t="s">
        <v>37</v>
      </c>
      <c r="I15" s="37">
        <v>5.0000000000000001E-3</v>
      </c>
      <c r="J15" s="24">
        <v>15000</v>
      </c>
    </row>
    <row r="16" spans="2:10" s="27" customFormat="1" ht="15.75" thickBot="1" x14ac:dyDescent="0.3">
      <c r="B16"/>
      <c r="C16" s="42" t="s">
        <v>41</v>
      </c>
      <c r="D16" s="66" t="s">
        <v>42</v>
      </c>
      <c r="H16" s="7" t="s">
        <v>38</v>
      </c>
      <c r="I16" s="37">
        <v>2E-3</v>
      </c>
      <c r="J16" s="25">
        <v>15000</v>
      </c>
    </row>
    <row r="17" spans="2:9" s="27" customFormat="1" x14ac:dyDescent="0.25">
      <c r="B17" s="3" t="s">
        <v>27</v>
      </c>
      <c r="C17" s="35">
        <f>((1+D17)^(1/12))-1</f>
        <v>1.1347621038123146E-2</v>
      </c>
      <c r="D17" s="34">
        <v>0.14499999999999999</v>
      </c>
      <c r="H17" s="7" t="s">
        <v>39</v>
      </c>
      <c r="I17" s="37">
        <v>0.2</v>
      </c>
    </row>
    <row r="18" spans="2:9" s="27" customFormat="1" x14ac:dyDescent="0.25">
      <c r="B18" s="4" t="s">
        <v>28</v>
      </c>
      <c r="C18" s="36">
        <f t="shared" ref="C18:C19" si="2">((1+D18)^(1/12))-1</f>
        <v>2.4662697723036864E-3</v>
      </c>
      <c r="D18" s="37">
        <v>0.03</v>
      </c>
      <c r="H18" s="7" t="s">
        <v>40</v>
      </c>
      <c r="I18" s="58">
        <f>((1+D17)*(1+D18))-1</f>
        <v>0.17935000000000012</v>
      </c>
    </row>
    <row r="19" spans="2:9" s="27" customFormat="1" ht="15.75" thickBot="1" x14ac:dyDescent="0.3">
      <c r="B19" s="4" t="s">
        <v>29</v>
      </c>
      <c r="C19" s="36">
        <f t="shared" si="2"/>
        <v>4.0741237836483535E-3</v>
      </c>
      <c r="D19" s="37">
        <v>0.05</v>
      </c>
      <c r="E19" s="39"/>
      <c r="H19" s="8" t="s">
        <v>48</v>
      </c>
      <c r="I19" s="26"/>
    </row>
    <row r="20" spans="2:9" s="27" customFormat="1" x14ac:dyDescent="0.25">
      <c r="B20" s="4" t="s">
        <v>69</v>
      </c>
      <c r="C20" s="36">
        <f>(1+C17)*(1+C18)-1</f>
        <v>1.38418771051807E-2</v>
      </c>
      <c r="D20" s="58">
        <f>((1+C20)^12)-1</f>
        <v>0.17935000000000101</v>
      </c>
    </row>
    <row r="21" spans="2:9" s="27" customFormat="1" ht="15.75" thickBot="1" x14ac:dyDescent="0.3">
      <c r="B21" s="5" t="s">
        <v>70</v>
      </c>
      <c r="C21" s="38">
        <f>((1+C17)*(1+C19))-1</f>
        <v>1.5467976434530684E-2</v>
      </c>
      <c r="D21" s="57">
        <f>((1+C21)^12)-1</f>
        <v>0.20225000000000026</v>
      </c>
    </row>
    <row r="22" spans="2:9" s="27" customFormat="1" ht="15.75" thickBot="1" x14ac:dyDescent="0.3"/>
    <row r="23" spans="2:9" s="27" customFormat="1" ht="15.75" thickBot="1" x14ac:dyDescent="0.3">
      <c r="B23" s="12" t="s">
        <v>30</v>
      </c>
      <c r="C23" s="59">
        <f>Fundo!U399/Dashboard!D14</f>
        <v>1.2399820240881989</v>
      </c>
      <c r="D23" s="60">
        <f>C23*D14</f>
        <v>1239982.024088199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E414-533D-484F-912F-08FCC37EC76C}">
  <dimension ref="A1:BT400"/>
  <sheetViews>
    <sheetView tabSelected="1" topLeftCell="J1" workbookViewId="0">
      <pane ySplit="3" topLeftCell="A4" activePane="bottomLeft" state="frozen"/>
      <selection pane="bottomLeft" activeCell="Z6" sqref="Z6"/>
    </sheetView>
  </sheetViews>
  <sheetFormatPr defaultRowHeight="15" x14ac:dyDescent="0.25"/>
  <cols>
    <col min="1" max="1" width="3.42578125" style="27" customWidth="1"/>
    <col min="2" max="2" width="15.85546875" bestFit="1" customWidth="1"/>
    <col min="3" max="3" width="4" bestFit="1" customWidth="1"/>
    <col min="4" max="4" width="10.42578125" bestFit="1" customWidth="1"/>
    <col min="5" max="5" width="2.140625" bestFit="1" customWidth="1"/>
    <col min="6" max="6" width="15.140625" bestFit="1" customWidth="1"/>
    <col min="7" max="7" width="14" bestFit="1" customWidth="1"/>
    <col min="8" max="8" width="1.5703125" style="27" customWidth="1"/>
    <col min="9" max="9" width="2.140625" bestFit="1" customWidth="1"/>
    <col min="10" max="10" width="15.140625" bestFit="1" customWidth="1"/>
    <col min="11" max="11" width="14" bestFit="1" customWidth="1"/>
    <col min="12" max="12" width="1.28515625" style="27" customWidth="1"/>
    <col min="13" max="13" width="3" bestFit="1" customWidth="1"/>
    <col min="14" max="14" width="15.140625" bestFit="1" customWidth="1"/>
    <col min="15" max="15" width="14" bestFit="1" customWidth="1"/>
    <col min="16" max="16" width="2.28515625" style="27" customWidth="1"/>
    <col min="17" max="17" width="3" bestFit="1" customWidth="1"/>
    <col min="18" max="18" width="15.140625" bestFit="1" customWidth="1"/>
    <col min="19" max="19" width="14" bestFit="1" customWidth="1"/>
    <col min="20" max="20" width="13.28515625" bestFit="1" customWidth="1"/>
    <col min="21" max="21" width="16" bestFit="1" customWidth="1"/>
    <col min="22" max="22" width="10.5703125" bestFit="1" customWidth="1"/>
    <col min="23" max="23" width="16" bestFit="1" customWidth="1"/>
    <col min="24" max="24" width="13.28515625" bestFit="1" customWidth="1"/>
    <col min="25" max="25" width="2.7109375" style="27" customWidth="1"/>
    <col min="26" max="26" width="16.42578125" bestFit="1" customWidth="1"/>
    <col min="27" max="27" width="10.5703125" bestFit="1" customWidth="1"/>
    <col min="28" max="28" width="15" bestFit="1" customWidth="1"/>
    <col min="29" max="30" width="14.28515625" bestFit="1" customWidth="1"/>
    <col min="31" max="31" width="2.7109375" style="27" customWidth="1"/>
    <col min="32" max="32" width="18.7109375" bestFit="1" customWidth="1"/>
    <col min="33" max="33" width="10.7109375" bestFit="1" customWidth="1"/>
    <col min="34" max="34" width="17.28515625" bestFit="1" customWidth="1"/>
    <col min="35" max="36" width="14.28515625" bestFit="1" customWidth="1"/>
    <col min="37" max="37" width="2.28515625" style="27" customWidth="1"/>
    <col min="38" max="38" width="16" bestFit="1" customWidth="1"/>
    <col min="39" max="39" width="14.5703125" bestFit="1" customWidth="1"/>
    <col min="40" max="40" width="14.28515625" bestFit="1" customWidth="1"/>
    <col min="41" max="72" width="8.85546875" style="27"/>
  </cols>
  <sheetData>
    <row r="1" spans="1:72" s="27" customFormat="1" ht="15.75" thickBot="1" x14ac:dyDescent="0.3">
      <c r="X1" s="79"/>
    </row>
    <row r="2" spans="1:72" s="65" customFormat="1" ht="15.75" thickBot="1" x14ac:dyDescent="0.3">
      <c r="A2" s="63"/>
      <c r="B2" s="63"/>
      <c r="C2" s="63"/>
      <c r="D2" s="63"/>
      <c r="E2" s="87" t="s">
        <v>6</v>
      </c>
      <c r="F2" s="88"/>
      <c r="G2" s="89"/>
      <c r="H2" s="64"/>
      <c r="I2" s="87" t="s">
        <v>7</v>
      </c>
      <c r="J2" s="88"/>
      <c r="K2" s="89"/>
      <c r="L2" s="64"/>
      <c r="M2" s="87" t="s">
        <v>8</v>
      </c>
      <c r="N2" s="88"/>
      <c r="O2" s="89"/>
      <c r="P2" s="64"/>
      <c r="Q2" s="87" t="s">
        <v>71</v>
      </c>
      <c r="R2" s="88"/>
      <c r="S2" s="88"/>
      <c r="T2" s="88"/>
      <c r="U2" s="88"/>
      <c r="V2" s="88"/>
      <c r="W2" s="89"/>
      <c r="X2" s="74">
        <f>IRR(X5:X399,0.001)</f>
        <v>5.7593989560822401E-4</v>
      </c>
      <c r="Y2" s="63"/>
      <c r="Z2" s="87" t="s">
        <v>23</v>
      </c>
      <c r="AA2" s="88"/>
      <c r="AB2" s="88"/>
      <c r="AC2" s="89"/>
      <c r="AD2" s="74">
        <f>IRR(AD5:AD399,0.001)</f>
        <v>4.5833677990647637E-4</v>
      </c>
      <c r="AE2" s="63"/>
      <c r="AF2" s="87" t="s">
        <v>56</v>
      </c>
      <c r="AG2" s="88"/>
      <c r="AH2" s="88"/>
      <c r="AI2" s="89"/>
      <c r="AJ2" s="74">
        <f>IRR(AJ5:AJ399,0.001)</f>
        <v>5.11783141814659E-4</v>
      </c>
      <c r="AK2" s="63"/>
      <c r="AL2" s="87" t="s">
        <v>55</v>
      </c>
      <c r="AM2" s="89"/>
      <c r="AN2" s="74">
        <f>IRR(AN5:AN399,0.001)</f>
        <v>7.2359828352275279E-4</v>
      </c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</row>
    <row r="3" spans="1:72" s="73" customFormat="1" x14ac:dyDescent="0.25">
      <c r="A3" s="64"/>
      <c r="B3" s="42" t="s">
        <v>0</v>
      </c>
      <c r="C3" s="41" t="s">
        <v>1</v>
      </c>
      <c r="D3" s="66" t="s">
        <v>2</v>
      </c>
      <c r="E3" s="67" t="s">
        <v>3</v>
      </c>
      <c r="F3" s="68" t="s">
        <v>4</v>
      </c>
      <c r="G3" s="69" t="s">
        <v>5</v>
      </c>
      <c r="H3" s="64"/>
      <c r="I3" s="67" t="s">
        <v>3</v>
      </c>
      <c r="J3" s="68" t="s">
        <v>4</v>
      </c>
      <c r="K3" s="69" t="s">
        <v>5</v>
      </c>
      <c r="L3" s="64"/>
      <c r="M3" s="67" t="s">
        <v>3</v>
      </c>
      <c r="N3" s="68" t="s">
        <v>4</v>
      </c>
      <c r="O3" s="69" t="s">
        <v>5</v>
      </c>
      <c r="P3" s="64"/>
      <c r="Q3" s="70" t="s">
        <v>3</v>
      </c>
      <c r="R3" s="68" t="s">
        <v>4</v>
      </c>
      <c r="S3" s="68" t="s">
        <v>5</v>
      </c>
      <c r="T3" s="68" t="s">
        <v>9</v>
      </c>
      <c r="U3" s="68" t="s">
        <v>10</v>
      </c>
      <c r="V3" s="68" t="s">
        <v>11</v>
      </c>
      <c r="W3" s="69" t="s">
        <v>12</v>
      </c>
      <c r="X3" s="71" t="s">
        <v>43</v>
      </c>
      <c r="Y3" s="64"/>
      <c r="Z3" s="42" t="s">
        <v>50</v>
      </c>
      <c r="AA3" s="41" t="s">
        <v>51</v>
      </c>
      <c r="AB3" s="41" t="s">
        <v>52</v>
      </c>
      <c r="AC3" s="72" t="s">
        <v>53</v>
      </c>
      <c r="AD3" s="71" t="s">
        <v>54</v>
      </c>
      <c r="AE3" s="64"/>
      <c r="AF3" s="42" t="s">
        <v>57</v>
      </c>
      <c r="AG3" s="41" t="s">
        <v>58</v>
      </c>
      <c r="AH3" s="41" t="s">
        <v>59</v>
      </c>
      <c r="AI3" s="72" t="s">
        <v>60</v>
      </c>
      <c r="AJ3" s="71" t="s">
        <v>61</v>
      </c>
      <c r="AK3" s="64"/>
      <c r="AL3" s="42" t="s">
        <v>62</v>
      </c>
      <c r="AM3" s="72" t="s">
        <v>63</v>
      </c>
      <c r="AN3" s="71" t="s">
        <v>64</v>
      </c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</row>
    <row r="4" spans="1:72" x14ac:dyDescent="0.25">
      <c r="B4" s="7"/>
      <c r="C4" s="1">
        <v>0</v>
      </c>
      <c r="D4" s="15"/>
      <c r="E4" s="7"/>
      <c r="F4" s="1"/>
      <c r="G4" s="15"/>
      <c r="I4" s="7"/>
      <c r="J4" s="1"/>
      <c r="K4" s="15"/>
      <c r="M4" s="7"/>
      <c r="N4" s="1"/>
      <c r="O4" s="15"/>
      <c r="Q4" s="32"/>
      <c r="R4" s="1"/>
      <c r="S4" s="1"/>
      <c r="T4" s="1"/>
      <c r="U4" s="76">
        <f>Z5+AF5+AL5</f>
        <v>1000000</v>
      </c>
      <c r="V4" s="1"/>
      <c r="W4" s="77">
        <f>U4</f>
        <v>1000000</v>
      </c>
      <c r="X4" s="44"/>
      <c r="Z4" s="78">
        <f>Dashboard!D10</f>
        <v>600000</v>
      </c>
      <c r="AA4" s="1"/>
      <c r="AB4" s="1"/>
      <c r="AC4" s="15"/>
      <c r="AD4" s="44"/>
      <c r="AF4" s="78">
        <f>Dashboard!D11</f>
        <v>100000</v>
      </c>
      <c r="AG4" s="1"/>
      <c r="AH4" s="1"/>
      <c r="AI4" s="15"/>
      <c r="AJ4" s="44"/>
      <c r="AL4" s="78">
        <f>Dashboard!D12</f>
        <v>300000</v>
      </c>
      <c r="AM4" s="15"/>
      <c r="AN4" s="44"/>
    </row>
    <row r="5" spans="1:72" x14ac:dyDescent="0.25">
      <c r="B5" s="53">
        <f>Dashboard!D14</f>
        <v>1000000</v>
      </c>
      <c r="C5" s="1">
        <v>1</v>
      </c>
      <c r="D5" s="51">
        <v>46174</v>
      </c>
      <c r="E5" s="7">
        <f>Q5*Dashboard!$I$9</f>
        <v>9</v>
      </c>
      <c r="F5" s="31">
        <f>E5*Dashboard!$I$3</f>
        <v>15102</v>
      </c>
      <c r="G5" s="18">
        <v>0</v>
      </c>
      <c r="H5" s="49"/>
      <c r="I5" s="7">
        <f>Q5*Dashboard!$I$10</f>
        <v>9</v>
      </c>
      <c r="J5" s="31">
        <f>I5*Dashboard!$I$3</f>
        <v>15102</v>
      </c>
      <c r="K5" s="29">
        <v>0</v>
      </c>
      <c r="L5" s="48"/>
      <c r="M5" s="7">
        <f>Q5*Dashboard!$I$11</f>
        <v>12</v>
      </c>
      <c r="N5" s="31">
        <f>M5*Dashboard!$I$3</f>
        <v>20136</v>
      </c>
      <c r="O5" s="18">
        <v>0</v>
      </c>
      <c r="P5" s="49"/>
      <c r="Q5" s="32">
        <f>Dashboard!I8</f>
        <v>30</v>
      </c>
      <c r="R5" s="31">
        <f>F5+J5+N5</f>
        <v>50340</v>
      </c>
      <c r="S5" s="31">
        <f>G5+K5+O5</f>
        <v>0</v>
      </c>
      <c r="T5" s="33">
        <v>0</v>
      </c>
      <c r="U5" s="31">
        <f>U4-R5+S5+V5-Custos!D5</f>
        <v>938660</v>
      </c>
      <c r="V5" s="1">
        <v>0</v>
      </c>
      <c r="W5" s="29">
        <f>U5+R5</f>
        <v>989000</v>
      </c>
      <c r="X5" s="45">
        <f>-R5+S5-Custos!D5</f>
        <v>-61340</v>
      </c>
      <c r="Z5" s="83">
        <f>Z4</f>
        <v>600000</v>
      </c>
      <c r="AA5" s="33">
        <f>AC4*(((1+Dashboard!$C$20)^(1/30))-1)</f>
        <v>0</v>
      </c>
      <c r="AB5" s="84">
        <v>0</v>
      </c>
      <c r="AC5" s="18">
        <f>Z5</f>
        <v>600000</v>
      </c>
      <c r="AD5" s="47">
        <f>-Z5+AB5</f>
        <v>-600000</v>
      </c>
      <c r="AF5" s="86">
        <f>AF4</f>
        <v>100000</v>
      </c>
      <c r="AG5" s="33">
        <f>AI4*(((1+Dashboard!$C$21)^(1/30))-1)</f>
        <v>0</v>
      </c>
      <c r="AH5" s="84">
        <v>0</v>
      </c>
      <c r="AI5" s="29">
        <f>AF5</f>
        <v>100000</v>
      </c>
      <c r="AJ5" s="45">
        <f>-AF5+AH5</f>
        <v>-100000</v>
      </c>
      <c r="AL5" s="86">
        <f>AL4</f>
        <v>300000</v>
      </c>
      <c r="AM5" s="22">
        <v>0</v>
      </c>
      <c r="AN5" s="45">
        <f>-AL5+AM5</f>
        <v>-300000</v>
      </c>
    </row>
    <row r="6" spans="1:72" x14ac:dyDescent="0.25">
      <c r="B6" s="53">
        <f>B5*(((1+Dashboard!$C$20)^(1/30)))</f>
        <v>1000458.3367799065</v>
      </c>
      <c r="C6" s="1">
        <v>2</v>
      </c>
      <c r="D6" s="51">
        <f>D5+1</f>
        <v>46175</v>
      </c>
      <c r="E6" s="7">
        <f>E5</f>
        <v>9</v>
      </c>
      <c r="F6" s="31">
        <f>E6*Dashboard!$I$3</f>
        <v>15102</v>
      </c>
      <c r="G6" s="18">
        <v>0</v>
      </c>
      <c r="H6" s="49"/>
      <c r="I6" s="7">
        <f>I5</f>
        <v>9</v>
      </c>
      <c r="J6" s="31">
        <f>I6*Dashboard!$I$3</f>
        <v>15102</v>
      </c>
      <c r="K6" s="29">
        <v>0</v>
      </c>
      <c r="L6" s="48"/>
      <c r="M6" s="7">
        <f>M5</f>
        <v>12</v>
      </c>
      <c r="N6" s="31">
        <f>M6*Dashboard!$I$3</f>
        <v>20136</v>
      </c>
      <c r="O6" s="18">
        <v>0</v>
      </c>
      <c r="P6" s="49"/>
      <c r="Q6" s="32">
        <f>Q5</f>
        <v>30</v>
      </c>
      <c r="R6" s="31">
        <f t="shared" ref="R6:R69" si="0">F6+J6+N6</f>
        <v>50340</v>
      </c>
      <c r="S6" s="31">
        <f t="shared" ref="S6:S69" si="1">G6+K6+O6</f>
        <v>0</v>
      </c>
      <c r="T6" s="33">
        <v>0</v>
      </c>
      <c r="U6" s="31">
        <f>U5-R6+S6+V6-Custos!D6-AB5-AH5-AM5</f>
        <v>887169.71895012562</v>
      </c>
      <c r="V6" s="31">
        <f>U5*(((1+Dashboard!$C$17)^(1/30))-1)</f>
        <v>353.1189501256448</v>
      </c>
      <c r="W6" s="29">
        <f t="shared" ref="W6:W69" si="2">U6+R6</f>
        <v>937509.71895012562</v>
      </c>
      <c r="X6" s="45">
        <f>-R6+S6-Custos!D6</f>
        <v>-51843.4</v>
      </c>
      <c r="Z6" s="83">
        <v>0</v>
      </c>
      <c r="AA6" s="33">
        <f>AC5*(((1+Dashboard!$C$20)^(1/30))-1)</f>
        <v>275.00206794388583</v>
      </c>
      <c r="AB6" s="84">
        <v>0</v>
      </c>
      <c r="AC6" s="18">
        <f>AC5+AA6-AB5+Z6</f>
        <v>600275.00206794392</v>
      </c>
      <c r="AD6" s="47">
        <f t="shared" ref="AD6:AD69" si="3">-Z6+AB6</f>
        <v>0</v>
      </c>
      <c r="AF6" s="83">
        <v>0</v>
      </c>
      <c r="AG6" s="33">
        <f>AI5*(((1+Dashboard!$C$21)^(1/30))-1)</f>
        <v>51.1783141814659</v>
      </c>
      <c r="AH6" s="84">
        <v>0</v>
      </c>
      <c r="AI6" s="29">
        <f>AI5+AG6-AH5+AF6</f>
        <v>100051.17831418147</v>
      </c>
      <c r="AJ6" s="45">
        <f t="shared" ref="AJ6:AJ69" si="4">-AF6+AH6</f>
        <v>0</v>
      </c>
      <c r="AL6" s="83">
        <v>0</v>
      </c>
      <c r="AM6" s="22">
        <v>0</v>
      </c>
      <c r="AN6" s="45">
        <f t="shared" ref="AN6:AN69" si="5">-AL6+AM6</f>
        <v>0</v>
      </c>
    </row>
    <row r="7" spans="1:72" x14ac:dyDescent="0.25">
      <c r="B7" s="53">
        <f>B6*(((1+Dashboard!$C$20)^(1/30)))</f>
        <v>1000916.8836324168</v>
      </c>
      <c r="C7" s="1">
        <v>3</v>
      </c>
      <c r="D7" s="51">
        <f t="shared" ref="D7:D70" si="6">D6+1</f>
        <v>46176</v>
      </c>
      <c r="E7" s="7">
        <f t="shared" ref="E7:E70" si="7">E6</f>
        <v>9</v>
      </c>
      <c r="F7" s="31">
        <f>E7*Dashboard!$I$3</f>
        <v>15102</v>
      </c>
      <c r="G7" s="18">
        <v>0</v>
      </c>
      <c r="H7" s="49"/>
      <c r="I7" s="7">
        <f t="shared" ref="I7:I70" si="8">I6</f>
        <v>9</v>
      </c>
      <c r="J7" s="31">
        <f>I7*Dashboard!$I$3</f>
        <v>15102</v>
      </c>
      <c r="K7" s="29">
        <v>0</v>
      </c>
      <c r="L7" s="48"/>
      <c r="M7" s="7">
        <f t="shared" ref="M7:M70" si="9">M6</f>
        <v>12</v>
      </c>
      <c r="N7" s="31">
        <f>M7*Dashboard!$I$3</f>
        <v>20136</v>
      </c>
      <c r="O7" s="18">
        <v>0</v>
      </c>
      <c r="P7" s="49"/>
      <c r="Q7" s="32">
        <f t="shared" ref="Q7:Q70" si="10">Q6</f>
        <v>30</v>
      </c>
      <c r="R7" s="31">
        <f t="shared" si="0"/>
        <v>50340</v>
      </c>
      <c r="S7" s="31">
        <f t="shared" si="1"/>
        <v>0</v>
      </c>
      <c r="T7" s="33">
        <v>0</v>
      </c>
      <c r="U7" s="31">
        <f>U6-R7+S7+V7-Custos!D7+Z6+AF6+AL6-AB6-AH6-AM6</f>
        <v>835660.0675276072</v>
      </c>
      <c r="V7" s="31">
        <f>U6*(((1+Dashboard!$C$17)^(1/30))-1)</f>
        <v>333.74857748165658</v>
      </c>
      <c r="W7" s="29">
        <f t="shared" si="2"/>
        <v>886000.0675276072</v>
      </c>
      <c r="X7" s="45">
        <f>-R7+S7-Custos!D7</f>
        <v>-51843.4</v>
      </c>
      <c r="Z7" s="83">
        <v>0</v>
      </c>
      <c r="AA7" s="33">
        <f>AC6*(((1+Dashboard!$C$20)^(1/30))-1)</f>
        <v>275.12811150617483</v>
      </c>
      <c r="AB7" s="84">
        <v>0</v>
      </c>
      <c r="AC7" s="18">
        <f t="shared" ref="AC7:AC70" si="11">AC6+AA7-AB6+Z7</f>
        <v>600550.13017945015</v>
      </c>
      <c r="AD7" s="47">
        <f t="shared" si="3"/>
        <v>0</v>
      </c>
      <c r="AF7" s="83">
        <v>0</v>
      </c>
      <c r="AG7" s="33">
        <f>AI6*(((1+Dashboard!$C$21)^(1/30))-1)</f>
        <v>51.204506379890468</v>
      </c>
      <c r="AH7" s="84">
        <v>0</v>
      </c>
      <c r="AI7" s="29">
        <f t="shared" ref="AI7:AI70" si="12">AI6+AG7-AH6+AF7</f>
        <v>100102.38282056135</v>
      </c>
      <c r="AJ7" s="45">
        <f t="shared" si="4"/>
        <v>0</v>
      </c>
      <c r="AL7" s="83">
        <v>0</v>
      </c>
      <c r="AM7" s="22">
        <v>0</v>
      </c>
      <c r="AN7" s="45">
        <f t="shared" si="5"/>
        <v>0</v>
      </c>
    </row>
    <row r="8" spans="1:72" x14ac:dyDescent="0.25">
      <c r="B8" s="53">
        <f>B7*(((1+Dashboard!$C$20)^(1/30)))</f>
        <v>1001375.6406538149</v>
      </c>
      <c r="C8" s="1">
        <v>4</v>
      </c>
      <c r="D8" s="51">
        <f t="shared" si="6"/>
        <v>46177</v>
      </c>
      <c r="E8" s="7">
        <f t="shared" si="7"/>
        <v>9</v>
      </c>
      <c r="F8" s="31">
        <f>E8*Dashboard!$I$3</f>
        <v>15102</v>
      </c>
      <c r="G8" s="18">
        <v>0</v>
      </c>
      <c r="H8" s="49"/>
      <c r="I8" s="7">
        <f t="shared" si="8"/>
        <v>9</v>
      </c>
      <c r="J8" s="31">
        <f>I8*Dashboard!$I$3</f>
        <v>15102</v>
      </c>
      <c r="K8" s="29">
        <v>0</v>
      </c>
      <c r="L8" s="48"/>
      <c r="M8" s="7">
        <f t="shared" si="9"/>
        <v>12</v>
      </c>
      <c r="N8" s="31">
        <f>M8*Dashboard!$I$3</f>
        <v>20136</v>
      </c>
      <c r="O8" s="18">
        <v>0</v>
      </c>
      <c r="P8" s="49"/>
      <c r="Q8" s="32">
        <f t="shared" si="10"/>
        <v>30</v>
      </c>
      <c r="R8" s="31">
        <f t="shared" si="0"/>
        <v>50340</v>
      </c>
      <c r="S8" s="31">
        <f t="shared" si="1"/>
        <v>0</v>
      </c>
      <c r="T8" s="33">
        <v>0</v>
      </c>
      <c r="U8" s="31">
        <f>U7-R8+S8+V8-Custos!D8+Z7+AF7+AL7-AB7-AH7-AM7</f>
        <v>784131.03844541265</v>
      </c>
      <c r="V8" s="31">
        <f>U7*(((1+Dashboard!$C$17)^(1/30))-1)</f>
        <v>314.37091780546109</v>
      </c>
      <c r="W8" s="29">
        <f t="shared" si="2"/>
        <v>834471.03844541265</v>
      </c>
      <c r="X8" s="45">
        <f>-R8+S8-Custos!D8</f>
        <v>-51843.4</v>
      </c>
      <c r="Z8" s="83">
        <v>0</v>
      </c>
      <c r="AA8" s="33">
        <f>AC7*(((1+Dashboard!$C$20)^(1/30))-1)</f>
        <v>275.25421283886436</v>
      </c>
      <c r="AB8" s="84">
        <v>0</v>
      </c>
      <c r="AC8" s="18">
        <f t="shared" si="11"/>
        <v>600825.38439228898</v>
      </c>
      <c r="AD8" s="47">
        <f t="shared" si="3"/>
        <v>0</v>
      </c>
      <c r="AF8" s="83">
        <v>0</v>
      </c>
      <c r="AG8" s="33">
        <f>AI7*(((1+Dashboard!$C$21)^(1/30))-1)</f>
        <v>51.230711983040635</v>
      </c>
      <c r="AH8" s="84">
        <v>0</v>
      </c>
      <c r="AI8" s="29">
        <f t="shared" si="12"/>
        <v>100153.61353254439</v>
      </c>
      <c r="AJ8" s="45">
        <f t="shared" si="4"/>
        <v>0</v>
      </c>
      <c r="AL8" s="83">
        <v>0</v>
      </c>
      <c r="AM8" s="22">
        <v>0</v>
      </c>
      <c r="AN8" s="45">
        <f t="shared" si="5"/>
        <v>0</v>
      </c>
    </row>
    <row r="9" spans="1:72" x14ac:dyDescent="0.25">
      <c r="B9" s="53">
        <f>B8*(((1+Dashboard!$C$20)^(1/30)))</f>
        <v>1001834.6079404289</v>
      </c>
      <c r="C9" s="1">
        <v>5</v>
      </c>
      <c r="D9" s="51">
        <f t="shared" si="6"/>
        <v>46178</v>
      </c>
      <c r="E9" s="7">
        <f t="shared" si="7"/>
        <v>9</v>
      </c>
      <c r="F9" s="31">
        <f>E9*Dashboard!$I$3</f>
        <v>15102</v>
      </c>
      <c r="G9" s="18">
        <v>0</v>
      </c>
      <c r="H9" s="49"/>
      <c r="I9" s="7">
        <f t="shared" si="8"/>
        <v>9</v>
      </c>
      <c r="J9" s="31">
        <f>I9*Dashboard!$I$3</f>
        <v>15102</v>
      </c>
      <c r="K9" s="29">
        <v>0</v>
      </c>
      <c r="L9" s="48"/>
      <c r="M9" s="7">
        <f t="shared" si="9"/>
        <v>12</v>
      </c>
      <c r="N9" s="31">
        <f>M9*Dashboard!$I$3</f>
        <v>20136</v>
      </c>
      <c r="O9" s="18">
        <v>0</v>
      </c>
      <c r="P9" s="49"/>
      <c r="Q9" s="32">
        <f t="shared" si="10"/>
        <v>30</v>
      </c>
      <c r="R9" s="31">
        <f t="shared" si="0"/>
        <v>50340</v>
      </c>
      <c r="S9" s="31">
        <f t="shared" si="1"/>
        <v>0</v>
      </c>
      <c r="T9" s="33">
        <v>0</v>
      </c>
      <c r="U9" s="31">
        <f>U8-R9+S9+V9-Custos!D9+Z8+AF8+AL8-AB8-AH8-AM8</f>
        <v>732582.6244137683</v>
      </c>
      <c r="V9" s="31">
        <f>U8*(((1+Dashboard!$C$17)^(1/30))-1)</f>
        <v>294.98596835571533</v>
      </c>
      <c r="W9" s="29">
        <f t="shared" si="2"/>
        <v>782922.6244137683</v>
      </c>
      <c r="X9" s="45">
        <f>-R9+S9-Custos!D9</f>
        <v>-51843.4</v>
      </c>
      <c r="Z9" s="83">
        <v>0</v>
      </c>
      <c r="AA9" s="33">
        <f>AC8*(((1+Dashboard!$C$20)^(1/30))-1)</f>
        <v>275.3803719684326</v>
      </c>
      <c r="AB9" s="84">
        <v>0</v>
      </c>
      <c r="AC9" s="18">
        <f t="shared" si="11"/>
        <v>601100.76476425736</v>
      </c>
      <c r="AD9" s="47">
        <f t="shared" si="3"/>
        <v>0</v>
      </c>
      <c r="AF9" s="83">
        <v>0</v>
      </c>
      <c r="AG9" s="33">
        <f>AI8*(((1+Dashboard!$C$21)^(1/30))-1)</f>
        <v>51.256930997776713</v>
      </c>
      <c r="AH9" s="84">
        <v>0</v>
      </c>
      <c r="AI9" s="29">
        <f t="shared" si="12"/>
        <v>100204.87046354216</v>
      </c>
      <c r="AJ9" s="45">
        <f t="shared" si="4"/>
        <v>0</v>
      </c>
      <c r="AL9" s="83">
        <v>0</v>
      </c>
      <c r="AM9" s="22">
        <v>0</v>
      </c>
      <c r="AN9" s="45">
        <f t="shared" si="5"/>
        <v>0</v>
      </c>
    </row>
    <row r="10" spans="1:72" x14ac:dyDescent="0.25">
      <c r="B10" s="53">
        <f>B9*(((1+Dashboard!$C$20)^(1/30)))</f>
        <v>1002293.7855886312</v>
      </c>
      <c r="C10" s="1">
        <v>6</v>
      </c>
      <c r="D10" s="51">
        <f t="shared" si="6"/>
        <v>46179</v>
      </c>
      <c r="E10" s="7">
        <f t="shared" si="7"/>
        <v>9</v>
      </c>
      <c r="F10" s="31">
        <f>E10*Dashboard!$I$3</f>
        <v>15102</v>
      </c>
      <c r="G10" s="18">
        <v>0</v>
      </c>
      <c r="H10" s="49"/>
      <c r="I10" s="7">
        <f t="shared" si="8"/>
        <v>9</v>
      </c>
      <c r="J10" s="31">
        <f>I10*Dashboard!$I$3</f>
        <v>15102</v>
      </c>
      <c r="K10" s="29">
        <v>0</v>
      </c>
      <c r="L10" s="48"/>
      <c r="M10" s="7">
        <f t="shared" si="9"/>
        <v>12</v>
      </c>
      <c r="N10" s="31">
        <f>M10*Dashboard!$I$3</f>
        <v>20136</v>
      </c>
      <c r="O10" s="18">
        <v>0</v>
      </c>
      <c r="P10" s="49"/>
      <c r="Q10" s="32">
        <f t="shared" si="10"/>
        <v>30</v>
      </c>
      <c r="R10" s="31">
        <f t="shared" si="0"/>
        <v>50340</v>
      </c>
      <c r="S10" s="31">
        <f t="shared" si="1"/>
        <v>0</v>
      </c>
      <c r="T10" s="33">
        <v>0</v>
      </c>
      <c r="U10" s="31">
        <f>U9-R10+S10+V10-Custos!D10+Z9+AF9+AL9-AB9-AH9-AM9</f>
        <v>681014.81814015831</v>
      </c>
      <c r="V10" s="31">
        <f>U9*(((1+Dashboard!$C$17)^(1/30))-1)</f>
        <v>275.59372639004476</v>
      </c>
      <c r="W10" s="29">
        <f t="shared" si="2"/>
        <v>731354.81814015831</v>
      </c>
      <c r="X10" s="45">
        <f>-R10+S10-Custos!D10</f>
        <v>-51843.4</v>
      </c>
      <c r="Z10" s="83">
        <v>0</v>
      </c>
      <c r="AA10" s="33">
        <f>AC9*(((1+Dashboard!$C$20)^(1/30))-1)</f>
        <v>275.50658892137005</v>
      </c>
      <c r="AB10" s="84">
        <v>0</v>
      </c>
      <c r="AC10" s="18">
        <f t="shared" si="11"/>
        <v>601376.27135317877</v>
      </c>
      <c r="AD10" s="47">
        <f t="shared" si="3"/>
        <v>0</v>
      </c>
      <c r="AF10" s="83">
        <v>0</v>
      </c>
      <c r="AG10" s="33">
        <f>AI9*(((1+Dashboard!$C$21)^(1/30))-1)</f>
        <v>51.283163430962531</v>
      </c>
      <c r="AH10" s="84">
        <v>0</v>
      </c>
      <c r="AI10" s="29">
        <f t="shared" si="12"/>
        <v>100256.15362697313</v>
      </c>
      <c r="AJ10" s="45">
        <f t="shared" si="4"/>
        <v>0</v>
      </c>
      <c r="AL10" s="83">
        <v>0</v>
      </c>
      <c r="AM10" s="22">
        <v>0</v>
      </c>
      <c r="AN10" s="45">
        <f t="shared" si="5"/>
        <v>0</v>
      </c>
    </row>
    <row r="11" spans="1:72" x14ac:dyDescent="0.25">
      <c r="B11" s="53">
        <f>B10*(((1+Dashboard!$C$20)^(1/30)))</f>
        <v>1002753.1736948382</v>
      </c>
      <c r="C11" s="1">
        <v>7</v>
      </c>
      <c r="D11" s="51">
        <f t="shared" si="6"/>
        <v>46180</v>
      </c>
      <c r="E11" s="7">
        <f t="shared" si="7"/>
        <v>9</v>
      </c>
      <c r="F11" s="31">
        <f>E11*Dashboard!$I$3</f>
        <v>15102</v>
      </c>
      <c r="G11" s="18">
        <v>0</v>
      </c>
      <c r="H11" s="49"/>
      <c r="I11" s="7">
        <f t="shared" si="8"/>
        <v>9</v>
      </c>
      <c r="J11" s="31">
        <f>I11*Dashboard!$I$3</f>
        <v>15102</v>
      </c>
      <c r="K11" s="29">
        <v>0</v>
      </c>
      <c r="L11" s="48"/>
      <c r="M11" s="7">
        <f t="shared" si="9"/>
        <v>12</v>
      </c>
      <c r="N11" s="31">
        <f>M11*Dashboard!$I$3</f>
        <v>20136</v>
      </c>
      <c r="O11" s="18">
        <v>0</v>
      </c>
      <c r="P11" s="49"/>
      <c r="Q11" s="32">
        <f t="shared" si="10"/>
        <v>30</v>
      </c>
      <c r="R11" s="31">
        <f t="shared" si="0"/>
        <v>50340</v>
      </c>
      <c r="S11" s="31">
        <f t="shared" si="1"/>
        <v>0</v>
      </c>
      <c r="T11" s="33">
        <v>0</v>
      </c>
      <c r="U11" s="31">
        <f>U10-R11+S11+V11-Custos!D11+Z10+AF10+AL10-AB10-AH10-AM10</f>
        <v>629427.61232932331</v>
      </c>
      <c r="V11" s="31">
        <f>U10*(((1+Dashboard!$C$17)^(1/30))-1)</f>
        <v>256.19418916504338</v>
      </c>
      <c r="W11" s="29">
        <f t="shared" si="2"/>
        <v>679767.61232932331</v>
      </c>
      <c r="X11" s="45">
        <f>-R11+S11-Custos!D11</f>
        <v>-51843.4</v>
      </c>
      <c r="Z11" s="83">
        <v>0</v>
      </c>
      <c r="AA11" s="33">
        <f>AC10*(((1+Dashboard!$C$20)^(1/30))-1)</f>
        <v>275.63286372417929</v>
      </c>
      <c r="AB11" s="84">
        <v>0</v>
      </c>
      <c r="AC11" s="18">
        <f t="shared" si="11"/>
        <v>601651.90421690291</v>
      </c>
      <c r="AD11" s="47">
        <f t="shared" si="3"/>
        <v>0</v>
      </c>
      <c r="AF11" s="83">
        <v>0</v>
      </c>
      <c r="AG11" s="33">
        <f>AI10*(((1+Dashboard!$C$21)^(1/30))-1)</f>
        <v>51.309409289465428</v>
      </c>
      <c r="AH11" s="84">
        <v>0</v>
      </c>
      <c r="AI11" s="29">
        <f t="shared" si="12"/>
        <v>100307.46303626259</v>
      </c>
      <c r="AJ11" s="45">
        <f t="shared" si="4"/>
        <v>0</v>
      </c>
      <c r="AL11" s="83">
        <v>0</v>
      </c>
      <c r="AM11" s="22">
        <v>0</v>
      </c>
      <c r="AN11" s="45">
        <f t="shared" si="5"/>
        <v>0</v>
      </c>
    </row>
    <row r="12" spans="1:72" x14ac:dyDescent="0.25">
      <c r="B12" s="53">
        <f>B11*(((1+Dashboard!$C$20)^(1/30)))</f>
        <v>1003212.7723555105</v>
      </c>
      <c r="C12" s="1">
        <v>8</v>
      </c>
      <c r="D12" s="51">
        <f t="shared" si="6"/>
        <v>46181</v>
      </c>
      <c r="E12" s="7">
        <f t="shared" si="7"/>
        <v>9</v>
      </c>
      <c r="F12" s="31">
        <f>E12*Dashboard!$I$3</f>
        <v>15102</v>
      </c>
      <c r="G12" s="18">
        <v>0</v>
      </c>
      <c r="H12" s="49"/>
      <c r="I12" s="7">
        <f t="shared" si="8"/>
        <v>9</v>
      </c>
      <c r="J12" s="31">
        <f>I12*Dashboard!$I$3</f>
        <v>15102</v>
      </c>
      <c r="K12" s="29">
        <v>0</v>
      </c>
      <c r="L12" s="48"/>
      <c r="M12" s="7">
        <f t="shared" si="9"/>
        <v>12</v>
      </c>
      <c r="N12" s="31">
        <f>M12*Dashboard!$I$3</f>
        <v>20136</v>
      </c>
      <c r="O12" s="18">
        <v>0</v>
      </c>
      <c r="P12" s="49"/>
      <c r="Q12" s="32">
        <f t="shared" si="10"/>
        <v>30</v>
      </c>
      <c r="R12" s="31">
        <f t="shared" si="0"/>
        <v>50340</v>
      </c>
      <c r="S12" s="31">
        <f t="shared" si="1"/>
        <v>0</v>
      </c>
      <c r="T12" s="33">
        <v>0</v>
      </c>
      <c r="U12" s="31">
        <f>U11-R12+S12+V12-Custos!D12+Z11+AF11+AL11-AB11-AH11-AM11</f>
        <v>577820.99968325952</v>
      </c>
      <c r="V12" s="31">
        <f>U11*(((1+Dashboard!$C$17)^(1/30))-1)</f>
        <v>236.78735393627301</v>
      </c>
      <c r="W12" s="29">
        <f t="shared" si="2"/>
        <v>628160.99968325952</v>
      </c>
      <c r="X12" s="45">
        <f>-R12+S12-Custos!D12</f>
        <v>-51843.4</v>
      </c>
      <c r="Z12" s="83">
        <v>0</v>
      </c>
      <c r="AA12" s="33">
        <f>AC11*(((1+Dashboard!$C$20)^(1/30))-1)</f>
        <v>275.75919640337503</v>
      </c>
      <c r="AB12" s="84">
        <v>0</v>
      </c>
      <c r="AC12" s="18">
        <f t="shared" si="11"/>
        <v>601927.66341330623</v>
      </c>
      <c r="AD12" s="47">
        <f t="shared" si="3"/>
        <v>0</v>
      </c>
      <c r="AF12" s="83">
        <v>0</v>
      </c>
      <c r="AG12" s="33">
        <f>AI11*(((1+Dashboard!$C$21)^(1/30))-1)</f>
        <v>51.335668580156245</v>
      </c>
      <c r="AH12" s="84">
        <v>0</v>
      </c>
      <c r="AI12" s="29">
        <f t="shared" si="12"/>
        <v>100358.79870484275</v>
      </c>
      <c r="AJ12" s="45">
        <f t="shared" si="4"/>
        <v>0</v>
      </c>
      <c r="AL12" s="83">
        <v>0</v>
      </c>
      <c r="AM12" s="22">
        <v>0</v>
      </c>
      <c r="AN12" s="45">
        <f t="shared" si="5"/>
        <v>0</v>
      </c>
    </row>
    <row r="13" spans="1:72" x14ac:dyDescent="0.25">
      <c r="B13" s="53">
        <f>B12*(((1+Dashboard!$C$20)^(1/30)))</f>
        <v>1003672.5816671529</v>
      </c>
      <c r="C13" s="1">
        <v>9</v>
      </c>
      <c r="D13" s="51">
        <f t="shared" si="6"/>
        <v>46182</v>
      </c>
      <c r="E13" s="7">
        <f t="shared" si="7"/>
        <v>9</v>
      </c>
      <c r="F13" s="31">
        <f>E13*Dashboard!$I$3</f>
        <v>15102</v>
      </c>
      <c r="G13" s="18">
        <v>0</v>
      </c>
      <c r="H13" s="49"/>
      <c r="I13" s="7">
        <f t="shared" si="8"/>
        <v>9</v>
      </c>
      <c r="J13" s="31">
        <f>I13*Dashboard!$I$3</f>
        <v>15102</v>
      </c>
      <c r="K13" s="29">
        <v>0</v>
      </c>
      <c r="L13" s="48"/>
      <c r="M13" s="7">
        <f t="shared" si="9"/>
        <v>12</v>
      </c>
      <c r="N13" s="31">
        <f>M13*Dashboard!$I$3</f>
        <v>20136</v>
      </c>
      <c r="O13" s="18">
        <v>0</v>
      </c>
      <c r="P13" s="49"/>
      <c r="Q13" s="32">
        <f t="shared" si="10"/>
        <v>30</v>
      </c>
      <c r="R13" s="31">
        <f t="shared" si="0"/>
        <v>50340</v>
      </c>
      <c r="S13" s="31">
        <f t="shared" si="1"/>
        <v>0</v>
      </c>
      <c r="T13" s="33">
        <v>0</v>
      </c>
      <c r="U13" s="31">
        <f>U12-R13+S13+V13-Custos!D13+Z12+AF12+AL12-AB12-AH12-AM12</f>
        <v>526194.97290121776</v>
      </c>
      <c r="V13" s="31">
        <f>U12*(((1+Dashboard!$C$17)^(1/30))-1)</f>
        <v>217.37321795826301</v>
      </c>
      <c r="W13" s="29">
        <f t="shared" si="2"/>
        <v>576534.97290121776</v>
      </c>
      <c r="X13" s="45">
        <f>-R13+S13-Custos!D13</f>
        <v>-51843.4</v>
      </c>
      <c r="Z13" s="83">
        <v>0</v>
      </c>
      <c r="AA13" s="33">
        <f>AC12*(((1+Dashboard!$C$20)^(1/30))-1)</f>
        <v>275.88558698548411</v>
      </c>
      <c r="AB13" s="84">
        <v>0</v>
      </c>
      <c r="AC13" s="18">
        <f t="shared" si="11"/>
        <v>602203.54900029174</v>
      </c>
      <c r="AD13" s="47">
        <f t="shared" si="3"/>
        <v>0</v>
      </c>
      <c r="AF13" s="83">
        <v>0</v>
      </c>
      <c r="AG13" s="33">
        <f>AI12*(((1+Dashboard!$C$21)^(1/30))-1)</f>
        <v>51.361941309909348</v>
      </c>
      <c r="AH13" s="84">
        <v>0</v>
      </c>
      <c r="AI13" s="29">
        <f t="shared" si="12"/>
        <v>100410.16064615265</v>
      </c>
      <c r="AJ13" s="45">
        <f t="shared" si="4"/>
        <v>0</v>
      </c>
      <c r="AL13" s="83">
        <v>0</v>
      </c>
      <c r="AM13" s="22">
        <v>0</v>
      </c>
      <c r="AN13" s="45">
        <f t="shared" si="5"/>
        <v>0</v>
      </c>
    </row>
    <row r="14" spans="1:72" x14ac:dyDescent="0.25">
      <c r="B14" s="53">
        <f>B13*(((1+Dashboard!$C$20)^(1/30)))</f>
        <v>1004132.6017263146</v>
      </c>
      <c r="C14" s="1">
        <v>10</v>
      </c>
      <c r="D14" s="51">
        <f t="shared" si="6"/>
        <v>46183</v>
      </c>
      <c r="E14" s="7">
        <f t="shared" si="7"/>
        <v>9</v>
      </c>
      <c r="F14" s="31">
        <f>E14*Dashboard!$I$3</f>
        <v>15102</v>
      </c>
      <c r="G14" s="18">
        <v>0</v>
      </c>
      <c r="H14" s="49"/>
      <c r="I14" s="7">
        <f t="shared" si="8"/>
        <v>9</v>
      </c>
      <c r="J14" s="31">
        <f>I14*Dashboard!$I$3</f>
        <v>15102</v>
      </c>
      <c r="K14" s="29">
        <v>0</v>
      </c>
      <c r="L14" s="48"/>
      <c r="M14" s="7">
        <f t="shared" si="9"/>
        <v>12</v>
      </c>
      <c r="N14" s="31">
        <f>M14*Dashboard!$I$3</f>
        <v>20136</v>
      </c>
      <c r="O14" s="18">
        <v>0</v>
      </c>
      <c r="P14" s="49"/>
      <c r="Q14" s="32">
        <f t="shared" si="10"/>
        <v>30</v>
      </c>
      <c r="R14" s="31">
        <f t="shared" si="0"/>
        <v>50340</v>
      </c>
      <c r="S14" s="31">
        <f t="shared" si="1"/>
        <v>0</v>
      </c>
      <c r="T14" s="33">
        <v>0</v>
      </c>
      <c r="U14" s="31">
        <f>U13-R14+S14+V14-Custos!D14+Z13+AF13+AL13-AB13-AH13-AM13</f>
        <v>474549.52467970224</v>
      </c>
      <c r="V14" s="31">
        <f>U13*(((1+Dashboard!$C$17)^(1/30))-1)</f>
        <v>197.95177848450999</v>
      </c>
      <c r="W14" s="29">
        <f t="shared" si="2"/>
        <v>524889.52467970224</v>
      </c>
      <c r="X14" s="45">
        <f>-R14+S14-Custos!D14</f>
        <v>-51843.4</v>
      </c>
      <c r="Z14" s="83">
        <v>0</v>
      </c>
      <c r="AA14" s="33">
        <f>AC13*(((1+Dashboard!$C$20)^(1/30))-1)</f>
        <v>276.01203549704564</v>
      </c>
      <c r="AB14" s="84">
        <v>0</v>
      </c>
      <c r="AC14" s="18">
        <f t="shared" si="11"/>
        <v>602479.56103578873</v>
      </c>
      <c r="AD14" s="47">
        <f t="shared" si="3"/>
        <v>0</v>
      </c>
      <c r="AF14" s="83">
        <v>0</v>
      </c>
      <c r="AG14" s="33">
        <f>AI13*(((1+Dashboard!$C$21)^(1/30))-1)</f>
        <v>51.388227485602634</v>
      </c>
      <c r="AH14" s="84">
        <v>0</v>
      </c>
      <c r="AI14" s="29">
        <f t="shared" si="12"/>
        <v>100461.54887363825</v>
      </c>
      <c r="AJ14" s="45">
        <f t="shared" si="4"/>
        <v>0</v>
      </c>
      <c r="AL14" s="83">
        <v>0</v>
      </c>
      <c r="AM14" s="22">
        <v>0</v>
      </c>
      <c r="AN14" s="45">
        <f t="shared" si="5"/>
        <v>0</v>
      </c>
    </row>
    <row r="15" spans="1:72" x14ac:dyDescent="0.25">
      <c r="B15" s="53">
        <f>B14*(((1+Dashboard!$C$20)^(1/30)))</f>
        <v>1004592.832629589</v>
      </c>
      <c r="C15" s="1">
        <v>11</v>
      </c>
      <c r="D15" s="51">
        <f t="shared" si="6"/>
        <v>46184</v>
      </c>
      <c r="E15" s="7">
        <f t="shared" si="7"/>
        <v>9</v>
      </c>
      <c r="F15" s="31">
        <f>E15*Dashboard!$I$3</f>
        <v>15102</v>
      </c>
      <c r="G15" s="18">
        <v>0</v>
      </c>
      <c r="H15" s="49"/>
      <c r="I15" s="7">
        <f t="shared" si="8"/>
        <v>9</v>
      </c>
      <c r="J15" s="31">
        <f>I15*Dashboard!$I$3</f>
        <v>15102</v>
      </c>
      <c r="K15" s="29">
        <v>0</v>
      </c>
      <c r="L15" s="48"/>
      <c r="M15" s="7">
        <f t="shared" si="9"/>
        <v>12</v>
      </c>
      <c r="N15" s="31">
        <f>M15*Dashboard!$I$3</f>
        <v>20136</v>
      </c>
      <c r="O15" s="18">
        <v>0</v>
      </c>
      <c r="P15" s="49"/>
      <c r="Q15" s="32">
        <f t="shared" si="10"/>
        <v>30</v>
      </c>
      <c r="R15" s="31">
        <f t="shared" si="0"/>
        <v>50340</v>
      </c>
      <c r="S15" s="31">
        <f t="shared" si="1"/>
        <v>0</v>
      </c>
      <c r="T15" s="33">
        <v>0</v>
      </c>
      <c r="U15" s="31">
        <f>U14-R15+S15+V15-Custos!D15+Z14+AF14+AL14-AB14-AH14-AM14</f>
        <v>422884.64771246968</v>
      </c>
      <c r="V15" s="31">
        <f>U14*(((1+Dashboard!$C$17)^(1/30))-1)</f>
        <v>178.52303276747728</v>
      </c>
      <c r="W15" s="29">
        <f t="shared" si="2"/>
        <v>473224.64771246968</v>
      </c>
      <c r="X15" s="45">
        <f>-R15+S15-Custos!D15</f>
        <v>-51843.4</v>
      </c>
      <c r="Z15" s="83">
        <v>0</v>
      </c>
      <c r="AA15" s="33">
        <f>AC14*(((1+Dashboard!$C$20)^(1/30))-1)</f>
        <v>276.13854196461079</v>
      </c>
      <c r="AB15" s="84">
        <v>0</v>
      </c>
      <c r="AC15" s="18">
        <f t="shared" si="11"/>
        <v>602755.69957775332</v>
      </c>
      <c r="AD15" s="47">
        <f t="shared" si="3"/>
        <v>0</v>
      </c>
      <c r="AF15" s="83">
        <v>0</v>
      </c>
      <c r="AG15" s="33">
        <f>AI14*(((1+Dashboard!$C$21)^(1/30))-1)</f>
        <v>51.414527114117504</v>
      </c>
      <c r="AH15" s="84">
        <v>0</v>
      </c>
      <c r="AI15" s="29">
        <f t="shared" si="12"/>
        <v>100512.96340075237</v>
      </c>
      <c r="AJ15" s="45">
        <f t="shared" si="4"/>
        <v>0</v>
      </c>
      <c r="AL15" s="83">
        <v>0</v>
      </c>
      <c r="AM15" s="22">
        <v>0</v>
      </c>
      <c r="AN15" s="45">
        <f t="shared" si="5"/>
        <v>0</v>
      </c>
    </row>
    <row r="16" spans="1:72" x14ac:dyDescent="0.25">
      <c r="B16" s="53">
        <f>B15*(((1+Dashboard!$C$20)^(1/30)))</f>
        <v>1005053.2744736136</v>
      </c>
      <c r="C16" s="1">
        <v>12</v>
      </c>
      <c r="D16" s="51">
        <f t="shared" si="6"/>
        <v>46185</v>
      </c>
      <c r="E16" s="7">
        <f t="shared" si="7"/>
        <v>9</v>
      </c>
      <c r="F16" s="31">
        <f>E16*Dashboard!$I$3</f>
        <v>15102</v>
      </c>
      <c r="G16" s="18">
        <v>0</v>
      </c>
      <c r="H16" s="49"/>
      <c r="I16" s="7">
        <f t="shared" si="8"/>
        <v>9</v>
      </c>
      <c r="J16" s="31">
        <f>I16*Dashboard!$I$3</f>
        <v>15102</v>
      </c>
      <c r="K16" s="29">
        <v>0</v>
      </c>
      <c r="L16" s="48"/>
      <c r="M16" s="7">
        <f t="shared" si="9"/>
        <v>12</v>
      </c>
      <c r="N16" s="31">
        <f>M16*Dashboard!$I$3</f>
        <v>20136</v>
      </c>
      <c r="O16" s="18">
        <v>0</v>
      </c>
      <c r="P16" s="49"/>
      <c r="Q16" s="32">
        <f t="shared" si="10"/>
        <v>30</v>
      </c>
      <c r="R16" s="31">
        <f t="shared" si="0"/>
        <v>50340</v>
      </c>
      <c r="S16" s="31">
        <f t="shared" si="1"/>
        <v>0</v>
      </c>
      <c r="T16" s="33">
        <v>0</v>
      </c>
      <c r="U16" s="31">
        <f>U15-R16+S16+V16-Custos!D16+Z15+AF15+AL15-AB15-AH15-AM15</f>
        <v>371200.33469052828</v>
      </c>
      <c r="V16" s="31">
        <f>U15*(((1+Dashboard!$C$17)^(1/30))-1)</f>
        <v>159.08697805859467</v>
      </c>
      <c r="W16" s="29">
        <f t="shared" si="2"/>
        <v>421540.33469052828</v>
      </c>
      <c r="X16" s="45">
        <f>-R16+S16-Custos!D16</f>
        <v>-51843.4</v>
      </c>
      <c r="Z16" s="83">
        <v>0</v>
      </c>
      <c r="AA16" s="33">
        <f>AC15*(((1+Dashboard!$C$20)^(1/30))-1)</f>
        <v>276.26510641474289</v>
      </c>
      <c r="AB16" s="84">
        <v>0</v>
      </c>
      <c r="AC16" s="18">
        <f t="shared" si="11"/>
        <v>603031.96468416811</v>
      </c>
      <c r="AD16" s="47">
        <f t="shared" si="3"/>
        <v>0</v>
      </c>
      <c r="AF16" s="83">
        <v>0</v>
      </c>
      <c r="AG16" s="33">
        <f>AI15*(((1+Dashboard!$C$21)^(1/30))-1)</f>
        <v>51.440840202338883</v>
      </c>
      <c r="AH16" s="84">
        <v>0</v>
      </c>
      <c r="AI16" s="29">
        <f t="shared" si="12"/>
        <v>100564.40424095471</v>
      </c>
      <c r="AJ16" s="45">
        <f t="shared" si="4"/>
        <v>0</v>
      </c>
      <c r="AL16" s="83">
        <v>0</v>
      </c>
      <c r="AM16" s="22">
        <v>0</v>
      </c>
      <c r="AN16" s="45">
        <f t="shared" si="5"/>
        <v>0</v>
      </c>
    </row>
    <row r="17" spans="2:40" x14ac:dyDescent="0.25">
      <c r="B17" s="53">
        <f>B16*(((1+Dashboard!$C$20)^(1/30)))</f>
        <v>1005513.9273550702</v>
      </c>
      <c r="C17" s="1">
        <v>13</v>
      </c>
      <c r="D17" s="51">
        <f t="shared" si="6"/>
        <v>46186</v>
      </c>
      <c r="E17" s="7">
        <f t="shared" si="7"/>
        <v>9</v>
      </c>
      <c r="F17" s="31">
        <f>E17*Dashboard!$I$3</f>
        <v>15102</v>
      </c>
      <c r="G17" s="18">
        <v>0</v>
      </c>
      <c r="H17" s="49"/>
      <c r="I17" s="7">
        <f t="shared" si="8"/>
        <v>9</v>
      </c>
      <c r="J17" s="31">
        <f>I17*Dashboard!$I$3</f>
        <v>15102</v>
      </c>
      <c r="K17" s="29">
        <v>0</v>
      </c>
      <c r="L17" s="48"/>
      <c r="M17" s="7">
        <f t="shared" si="9"/>
        <v>12</v>
      </c>
      <c r="N17" s="31">
        <f>M17*Dashboard!$I$3</f>
        <v>20136</v>
      </c>
      <c r="O17" s="18">
        <v>0</v>
      </c>
      <c r="P17" s="49"/>
      <c r="Q17" s="32">
        <f t="shared" si="10"/>
        <v>30</v>
      </c>
      <c r="R17" s="31">
        <f t="shared" si="0"/>
        <v>50340</v>
      </c>
      <c r="S17" s="31">
        <f t="shared" si="1"/>
        <v>0</v>
      </c>
      <c r="T17" s="33">
        <v>0</v>
      </c>
      <c r="U17" s="31">
        <f>U16-R17+S17+V17-Custos!D17+Z16+AF16+AL16-AB16-AH16-AM16</f>
        <v>319496.57830213651</v>
      </c>
      <c r="V17" s="31">
        <f>U16*(((1+Dashboard!$C$17)^(1/30))-1)</f>
        <v>139.64361160825786</v>
      </c>
      <c r="W17" s="29">
        <f t="shared" si="2"/>
        <v>369836.57830213651</v>
      </c>
      <c r="X17" s="45">
        <f>-R17+S17-Custos!D17</f>
        <v>-51843.4</v>
      </c>
      <c r="Z17" s="83">
        <v>0</v>
      </c>
      <c r="AA17" s="33">
        <f>AC16*(((1+Dashboard!$C$20)^(1/30))-1)</f>
        <v>276.39172887401759</v>
      </c>
      <c r="AB17" s="84">
        <v>0</v>
      </c>
      <c r="AC17" s="18">
        <f t="shared" si="11"/>
        <v>603308.35641304217</v>
      </c>
      <c r="AD17" s="47">
        <f t="shared" si="3"/>
        <v>0</v>
      </c>
      <c r="AF17" s="83">
        <v>0</v>
      </c>
      <c r="AG17" s="33">
        <f>AI16*(((1+Dashboard!$C$21)^(1/30))-1)</f>
        <v>51.467166757155219</v>
      </c>
      <c r="AH17" s="84">
        <v>0</v>
      </c>
      <c r="AI17" s="29">
        <f t="shared" si="12"/>
        <v>100615.87140771186</v>
      </c>
      <c r="AJ17" s="45">
        <f t="shared" si="4"/>
        <v>0</v>
      </c>
      <c r="AL17" s="83">
        <v>0</v>
      </c>
      <c r="AM17" s="22">
        <v>0</v>
      </c>
      <c r="AN17" s="45">
        <f t="shared" si="5"/>
        <v>0</v>
      </c>
    </row>
    <row r="18" spans="2:40" x14ac:dyDescent="0.25">
      <c r="B18" s="53">
        <f>B17*(((1+Dashboard!$C$20)^(1/30)))</f>
        <v>1005974.7913706853</v>
      </c>
      <c r="C18" s="1">
        <v>14</v>
      </c>
      <c r="D18" s="51">
        <f t="shared" si="6"/>
        <v>46187</v>
      </c>
      <c r="E18" s="7">
        <f t="shared" si="7"/>
        <v>9</v>
      </c>
      <c r="F18" s="31">
        <f>E18*Dashboard!$I$3</f>
        <v>15102</v>
      </c>
      <c r="G18" s="18">
        <v>0</v>
      </c>
      <c r="H18" s="49"/>
      <c r="I18" s="7">
        <f t="shared" si="8"/>
        <v>9</v>
      </c>
      <c r="J18" s="31">
        <f>I18*Dashboard!$I$3</f>
        <v>15102</v>
      </c>
      <c r="K18" s="29">
        <v>0</v>
      </c>
      <c r="L18" s="48"/>
      <c r="M18" s="7">
        <f t="shared" si="9"/>
        <v>12</v>
      </c>
      <c r="N18" s="31">
        <f>M18*Dashboard!$I$3</f>
        <v>20136</v>
      </c>
      <c r="O18" s="18">
        <v>0</v>
      </c>
      <c r="P18" s="49"/>
      <c r="Q18" s="32">
        <f t="shared" si="10"/>
        <v>30</v>
      </c>
      <c r="R18" s="31">
        <f t="shared" si="0"/>
        <v>50340</v>
      </c>
      <c r="S18" s="31">
        <f t="shared" si="1"/>
        <v>0</v>
      </c>
      <c r="T18" s="33">
        <v>0</v>
      </c>
      <c r="U18" s="31">
        <f>U17-R18+S18+V18-Custos!D18+Z17+AF17+AL17-AB17-AH17-AM17</f>
        <v>267773.37123280234</v>
      </c>
      <c r="V18" s="31">
        <f>U17*(((1+Dashboard!$C$17)^(1/30))-1)</f>
        <v>120.19293066582821</v>
      </c>
      <c r="W18" s="29">
        <f t="shared" si="2"/>
        <v>318113.37123280234</v>
      </c>
      <c r="X18" s="45">
        <f>-R18+S18-Custos!D18</f>
        <v>-51843.4</v>
      </c>
      <c r="Z18" s="83">
        <v>0</v>
      </c>
      <c r="AA18" s="33">
        <f>AC17*(((1+Dashboard!$C$20)^(1/30))-1)</f>
        <v>276.51840936902249</v>
      </c>
      <c r="AB18" s="84">
        <v>0</v>
      </c>
      <c r="AC18" s="18">
        <f t="shared" si="11"/>
        <v>603584.87482241122</v>
      </c>
      <c r="AD18" s="47">
        <f t="shared" si="3"/>
        <v>0</v>
      </c>
      <c r="AF18" s="83">
        <v>0</v>
      </c>
      <c r="AG18" s="33">
        <f>AI17*(((1+Dashboard!$C$21)^(1/30))-1)</f>
        <v>51.493506785458493</v>
      </c>
      <c r="AH18" s="84">
        <v>0</v>
      </c>
      <c r="AI18" s="29">
        <f t="shared" si="12"/>
        <v>100667.36491449732</v>
      </c>
      <c r="AJ18" s="45">
        <f t="shared" si="4"/>
        <v>0</v>
      </c>
      <c r="AL18" s="83">
        <v>0</v>
      </c>
      <c r="AM18" s="22">
        <v>0</v>
      </c>
      <c r="AN18" s="45">
        <f t="shared" si="5"/>
        <v>0</v>
      </c>
    </row>
    <row r="19" spans="2:40" x14ac:dyDescent="0.25">
      <c r="B19" s="53">
        <f>B18*(((1+Dashboard!$C$20)^(1/30)))</f>
        <v>1006435.8666172293</v>
      </c>
      <c r="C19" s="1">
        <v>15</v>
      </c>
      <c r="D19" s="51">
        <f t="shared" si="6"/>
        <v>46188</v>
      </c>
      <c r="E19" s="7">
        <f t="shared" si="7"/>
        <v>9</v>
      </c>
      <c r="F19" s="31">
        <f>E19*Dashboard!$I$3</f>
        <v>15102</v>
      </c>
      <c r="G19" s="18">
        <v>0</v>
      </c>
      <c r="H19" s="49"/>
      <c r="I19" s="7">
        <f t="shared" si="8"/>
        <v>9</v>
      </c>
      <c r="J19" s="31">
        <f>I19*Dashboard!$I$3</f>
        <v>15102</v>
      </c>
      <c r="K19" s="29">
        <v>0</v>
      </c>
      <c r="L19" s="48"/>
      <c r="M19" s="7">
        <f t="shared" si="9"/>
        <v>12</v>
      </c>
      <c r="N19" s="31">
        <f>M19*Dashboard!$I$3</f>
        <v>20136</v>
      </c>
      <c r="O19" s="18">
        <v>0</v>
      </c>
      <c r="P19" s="49"/>
      <c r="Q19" s="32">
        <f t="shared" si="10"/>
        <v>30</v>
      </c>
      <c r="R19" s="31">
        <f t="shared" si="0"/>
        <v>50340</v>
      </c>
      <c r="S19" s="31">
        <f t="shared" si="1"/>
        <v>0</v>
      </c>
      <c r="T19" s="33">
        <v>0</v>
      </c>
      <c r="U19" s="31">
        <f>U18-R19+S19+V19-Custos!D19+Z18+AF18+AL18-AB18-AH18-AM18</f>
        <v>216030.70616528197</v>
      </c>
      <c r="V19" s="31">
        <f>U18*(((1+Dashboard!$C$17)^(1/30))-1)</f>
        <v>100.73493247963235</v>
      </c>
      <c r="W19" s="29">
        <f t="shared" si="2"/>
        <v>266370.70616528194</v>
      </c>
      <c r="X19" s="45">
        <f>-R19+S19-Custos!D19</f>
        <v>-51843.4</v>
      </c>
      <c r="Z19" s="83">
        <v>0</v>
      </c>
      <c r="AA19" s="33">
        <f>AC18*(((1+Dashboard!$C$20)^(1/30))-1)</f>
        <v>276.64514792635759</v>
      </c>
      <c r="AB19" s="84">
        <v>0</v>
      </c>
      <c r="AC19" s="18">
        <f t="shared" si="11"/>
        <v>603861.51997033763</v>
      </c>
      <c r="AD19" s="47">
        <f t="shared" si="3"/>
        <v>0</v>
      </c>
      <c r="AF19" s="83">
        <v>0</v>
      </c>
      <c r="AG19" s="33">
        <f>AI18*(((1+Dashboard!$C$21)^(1/30))-1)</f>
        <v>51.519860294144209</v>
      </c>
      <c r="AH19" s="84">
        <v>0</v>
      </c>
      <c r="AI19" s="29">
        <f t="shared" si="12"/>
        <v>100718.88477479146</v>
      </c>
      <c r="AJ19" s="45">
        <f t="shared" si="4"/>
        <v>0</v>
      </c>
      <c r="AL19" s="83">
        <v>0</v>
      </c>
      <c r="AM19" s="22">
        <v>0</v>
      </c>
      <c r="AN19" s="45">
        <f t="shared" si="5"/>
        <v>0</v>
      </c>
    </row>
    <row r="20" spans="2:40" x14ac:dyDescent="0.25">
      <c r="B20" s="53">
        <f>B19*(((1+Dashboard!$C$20)^(1/30)))</f>
        <v>1006897.153191517</v>
      </c>
      <c r="C20" s="1">
        <v>16</v>
      </c>
      <c r="D20" s="51">
        <f t="shared" si="6"/>
        <v>46189</v>
      </c>
      <c r="E20" s="7">
        <f t="shared" si="7"/>
        <v>9</v>
      </c>
      <c r="F20" s="31">
        <f>E20*Dashboard!$I$3</f>
        <v>15102</v>
      </c>
      <c r="G20" s="18">
        <v>0</v>
      </c>
      <c r="H20" s="49"/>
      <c r="I20" s="7">
        <f t="shared" si="8"/>
        <v>9</v>
      </c>
      <c r="J20" s="31">
        <f>I20*Dashboard!$I$3</f>
        <v>15102</v>
      </c>
      <c r="K20" s="29">
        <v>0</v>
      </c>
      <c r="L20" s="48"/>
      <c r="M20" s="7">
        <f t="shared" si="9"/>
        <v>12</v>
      </c>
      <c r="N20" s="31">
        <f>M20*Dashboard!$I$3</f>
        <v>20136</v>
      </c>
      <c r="O20" s="18">
        <v>0</v>
      </c>
      <c r="P20" s="49"/>
      <c r="Q20" s="32">
        <f t="shared" si="10"/>
        <v>30</v>
      </c>
      <c r="R20" s="31">
        <f t="shared" si="0"/>
        <v>50340</v>
      </c>
      <c r="S20" s="31">
        <f t="shared" si="1"/>
        <v>0</v>
      </c>
      <c r="T20" s="33">
        <v>0</v>
      </c>
      <c r="U20" s="31">
        <f>U19-R20+S20+V20-Custos!D20+Z19+AF19+AL19-AB19-AH19-AM19</f>
        <v>164268.57577957894</v>
      </c>
      <c r="V20" s="31">
        <f>U19*(((1+Dashboard!$C$17)^(1/30))-1)</f>
        <v>81.269614296961663</v>
      </c>
      <c r="W20" s="29">
        <f t="shared" si="2"/>
        <v>214608.57577957894</v>
      </c>
      <c r="X20" s="45">
        <f>-R20+S20-Custos!D20</f>
        <v>-51843.4</v>
      </c>
      <c r="Z20" s="83">
        <v>0</v>
      </c>
      <c r="AA20" s="33">
        <f>AC19*(((1+Dashboard!$C$20)^(1/30))-1)</f>
        <v>276.77194457263494</v>
      </c>
      <c r="AB20" s="84">
        <v>0</v>
      </c>
      <c r="AC20" s="18">
        <f t="shared" si="11"/>
        <v>604138.29191491031</v>
      </c>
      <c r="AD20" s="47">
        <f t="shared" si="3"/>
        <v>0</v>
      </c>
      <c r="AF20" s="83">
        <v>0</v>
      </c>
      <c r="AG20" s="33">
        <f>AI19*(((1+Dashboard!$C$21)^(1/30))-1)</f>
        <v>51.546227290111396</v>
      </c>
      <c r="AH20" s="84">
        <v>0</v>
      </c>
      <c r="AI20" s="29">
        <f t="shared" si="12"/>
        <v>100770.43100208156</v>
      </c>
      <c r="AJ20" s="45">
        <f t="shared" si="4"/>
        <v>0</v>
      </c>
      <c r="AL20" s="83">
        <v>0</v>
      </c>
      <c r="AM20" s="22">
        <v>0</v>
      </c>
      <c r="AN20" s="45">
        <f t="shared" si="5"/>
        <v>0</v>
      </c>
    </row>
    <row r="21" spans="2:40" x14ac:dyDescent="0.25">
      <c r="B21" s="53">
        <f>B20*(((1+Dashboard!$C$20)^(1/30)))</f>
        <v>1007358.6511904078</v>
      </c>
      <c r="C21" s="1">
        <v>17</v>
      </c>
      <c r="D21" s="51">
        <f t="shared" si="6"/>
        <v>46190</v>
      </c>
      <c r="E21" s="7">
        <f t="shared" si="7"/>
        <v>9</v>
      </c>
      <c r="F21" s="31">
        <f>E21*Dashboard!$I$3</f>
        <v>15102</v>
      </c>
      <c r="G21" s="18">
        <v>0</v>
      </c>
      <c r="H21" s="49"/>
      <c r="I21" s="7">
        <f t="shared" si="8"/>
        <v>9</v>
      </c>
      <c r="J21" s="31">
        <f>I21*Dashboard!$I$3</f>
        <v>15102</v>
      </c>
      <c r="K21" s="29">
        <v>0</v>
      </c>
      <c r="L21" s="48"/>
      <c r="M21" s="7">
        <f t="shared" si="9"/>
        <v>12</v>
      </c>
      <c r="N21" s="31">
        <f>M21*Dashboard!$I$3</f>
        <v>20136</v>
      </c>
      <c r="O21" s="18">
        <v>0</v>
      </c>
      <c r="P21" s="49"/>
      <c r="Q21" s="32">
        <f t="shared" si="10"/>
        <v>30</v>
      </c>
      <c r="R21" s="31">
        <f t="shared" si="0"/>
        <v>50340</v>
      </c>
      <c r="S21" s="31">
        <f t="shared" si="1"/>
        <v>0</v>
      </c>
      <c r="T21" s="33">
        <v>0</v>
      </c>
      <c r="U21" s="31">
        <f>U20-R21+S21+V21-Custos!D21+Z20+AF20+AL20-AB20-AH20-AM20</f>
        <v>112486.97275294302</v>
      </c>
      <c r="V21" s="31">
        <f>U20*(((1+Dashboard!$C$17)^(1/30))-1)</f>
        <v>61.796973364072024</v>
      </c>
      <c r="W21" s="29">
        <f t="shared" si="2"/>
        <v>162826.97275294302</v>
      </c>
      <c r="X21" s="45">
        <f>-R21+S21-Custos!D21</f>
        <v>-51843.4</v>
      </c>
      <c r="Z21" s="83">
        <v>0</v>
      </c>
      <c r="AA21" s="33">
        <f>AC20*(((1+Dashboard!$C$20)^(1/30))-1)</f>
        <v>276.89879933447884</v>
      </c>
      <c r="AB21" s="84">
        <v>0</v>
      </c>
      <c r="AC21" s="18">
        <f t="shared" si="11"/>
        <v>604415.19071424485</v>
      </c>
      <c r="AD21" s="47">
        <f t="shared" si="3"/>
        <v>0</v>
      </c>
      <c r="AF21" s="83">
        <v>0</v>
      </c>
      <c r="AG21" s="33">
        <f>AI20*(((1+Dashboard!$C$21)^(1/30))-1)</f>
        <v>51.572607780262615</v>
      </c>
      <c r="AH21" s="84">
        <v>0</v>
      </c>
      <c r="AI21" s="29">
        <f t="shared" si="12"/>
        <v>100822.00360986183</v>
      </c>
      <c r="AJ21" s="45">
        <f t="shared" si="4"/>
        <v>0</v>
      </c>
      <c r="AL21" s="83">
        <v>0</v>
      </c>
      <c r="AM21" s="22">
        <v>0</v>
      </c>
      <c r="AN21" s="45">
        <f t="shared" si="5"/>
        <v>0</v>
      </c>
    </row>
    <row r="22" spans="2:40" x14ac:dyDescent="0.25">
      <c r="B22" s="53">
        <f>B21*(((1+Dashboard!$C$20)^(1/30)))</f>
        <v>1007820.3607108054</v>
      </c>
      <c r="C22" s="1">
        <v>18</v>
      </c>
      <c r="D22" s="51">
        <f t="shared" si="6"/>
        <v>46191</v>
      </c>
      <c r="E22" s="7">
        <f t="shared" si="7"/>
        <v>9</v>
      </c>
      <c r="F22" s="31">
        <f>E22*Dashboard!$I$3</f>
        <v>15102</v>
      </c>
      <c r="G22" s="18">
        <f>E5*Dashboard!$I$4</f>
        <v>15750</v>
      </c>
      <c r="H22" s="49"/>
      <c r="I22" s="7">
        <f t="shared" si="8"/>
        <v>9</v>
      </c>
      <c r="J22" s="31">
        <f>I22*Dashboard!$I$3</f>
        <v>15102</v>
      </c>
      <c r="K22" s="29">
        <v>0</v>
      </c>
      <c r="L22" s="48"/>
      <c r="M22" s="7">
        <f t="shared" si="9"/>
        <v>12</v>
      </c>
      <c r="N22" s="31">
        <f>M22*Dashboard!$I$3</f>
        <v>20136</v>
      </c>
      <c r="O22" s="18">
        <v>0</v>
      </c>
      <c r="P22" s="49"/>
      <c r="Q22" s="32">
        <f t="shared" si="10"/>
        <v>30</v>
      </c>
      <c r="R22" s="31">
        <f t="shared" si="0"/>
        <v>50340</v>
      </c>
      <c r="S22" s="31">
        <f t="shared" si="1"/>
        <v>15750</v>
      </c>
      <c r="T22" s="31">
        <f>S22-R5</f>
        <v>-34590</v>
      </c>
      <c r="U22" s="31">
        <f>U21-R22+S22+V22-Custos!D22+Z21+AF21+AL21-AB21-AH21-AM21</f>
        <v>76435.889759869213</v>
      </c>
      <c r="V22" s="31">
        <f>U21*(((1+Dashboard!$C$17)^(1/30))-1)</f>
        <v>42.317006926183339</v>
      </c>
      <c r="W22" s="29">
        <f t="shared" si="2"/>
        <v>126775.88975986921</v>
      </c>
      <c r="X22" s="45">
        <f>-R22+S22-Custos!D22</f>
        <v>-36093.4</v>
      </c>
      <c r="Z22" s="83">
        <v>0</v>
      </c>
      <c r="AA22" s="33">
        <f>AC21*(((1+Dashboard!$C$20)^(1/30))-1)</f>
        <v>277.02571223852578</v>
      </c>
      <c r="AB22" s="84">
        <v>0</v>
      </c>
      <c r="AC22" s="18">
        <f t="shared" si="11"/>
        <v>604692.21642648336</v>
      </c>
      <c r="AD22" s="47">
        <f t="shared" si="3"/>
        <v>0</v>
      </c>
      <c r="AF22" s="83">
        <v>0</v>
      </c>
      <c r="AG22" s="33">
        <f>AI21*(((1+Dashboard!$C$21)^(1/30))-1)</f>
        <v>51.599001771503978</v>
      </c>
      <c r="AH22" s="84">
        <v>0</v>
      </c>
      <c r="AI22" s="29">
        <f t="shared" si="12"/>
        <v>100873.60261163334</v>
      </c>
      <c r="AJ22" s="45">
        <f t="shared" si="4"/>
        <v>0</v>
      </c>
      <c r="AL22" s="83">
        <v>0</v>
      </c>
      <c r="AM22" s="22">
        <v>0</v>
      </c>
      <c r="AN22" s="45">
        <f t="shared" si="5"/>
        <v>0</v>
      </c>
    </row>
    <row r="23" spans="2:40" x14ac:dyDescent="0.25">
      <c r="B23" s="53">
        <f>B22*(((1+Dashboard!$C$20)^(1/30)))</f>
        <v>1008282.2818496578</v>
      </c>
      <c r="C23" s="1">
        <v>19</v>
      </c>
      <c r="D23" s="51">
        <f t="shared" si="6"/>
        <v>46192</v>
      </c>
      <c r="E23" s="7">
        <f t="shared" si="7"/>
        <v>9</v>
      </c>
      <c r="F23" s="31">
        <f>E23*Dashboard!$I$3</f>
        <v>15102</v>
      </c>
      <c r="G23" s="18">
        <f>E6*Dashboard!$I$4</f>
        <v>15750</v>
      </c>
      <c r="H23" s="48"/>
      <c r="I23" s="7">
        <f t="shared" si="8"/>
        <v>9</v>
      </c>
      <c r="J23" s="31">
        <f>I23*Dashboard!$I$3</f>
        <v>15102</v>
      </c>
      <c r="K23" s="29">
        <v>0</v>
      </c>
      <c r="L23" s="48"/>
      <c r="M23" s="7">
        <f t="shared" si="9"/>
        <v>12</v>
      </c>
      <c r="N23" s="31">
        <f>M23*Dashboard!$I$3</f>
        <v>20136</v>
      </c>
      <c r="O23" s="18">
        <v>0</v>
      </c>
      <c r="P23" s="49"/>
      <c r="Q23" s="32">
        <f t="shared" si="10"/>
        <v>30</v>
      </c>
      <c r="R23" s="31">
        <f t="shared" si="0"/>
        <v>50340</v>
      </c>
      <c r="S23" s="31">
        <f t="shared" si="1"/>
        <v>15750</v>
      </c>
      <c r="T23" s="31">
        <f t="shared" ref="T23:T86" si="13">S23-R6</f>
        <v>-34590</v>
      </c>
      <c r="U23" s="31">
        <f>U22-R23+S23+V23-Custos!D23+Z22+AF22+AL22-AB22-AH22-AM22</f>
        <v>40371.244539175801</v>
      </c>
      <c r="V23" s="31">
        <f>U22*(((1+Dashboard!$C$17)^(1/30))-1)</f>
        <v>28.754779306590823</v>
      </c>
      <c r="W23" s="29">
        <f t="shared" si="2"/>
        <v>90711.244539175794</v>
      </c>
      <c r="X23" s="45">
        <f>-R23+S23-Custos!D23</f>
        <v>-36093.4</v>
      </c>
      <c r="Z23" s="83">
        <v>0</v>
      </c>
      <c r="AA23" s="33">
        <f>AC22*(((1+Dashboard!$C$20)^(1/30))-1)</f>
        <v>277.15268331142448</v>
      </c>
      <c r="AB23" s="84">
        <v>0</v>
      </c>
      <c r="AC23" s="18">
        <f t="shared" si="11"/>
        <v>604969.36910979473</v>
      </c>
      <c r="AD23" s="47">
        <f t="shared" si="3"/>
        <v>0</v>
      </c>
      <c r="AF23" s="83">
        <v>0</v>
      </c>
      <c r="AG23" s="33">
        <f>AI22*(((1+Dashboard!$C$21)^(1/30))-1)</f>
        <v>51.625409270745102</v>
      </c>
      <c r="AH23" s="84">
        <v>0</v>
      </c>
      <c r="AI23" s="29">
        <f t="shared" si="12"/>
        <v>100925.22802090408</v>
      </c>
      <c r="AJ23" s="45">
        <f t="shared" si="4"/>
        <v>0</v>
      </c>
      <c r="AL23" s="83">
        <v>0</v>
      </c>
      <c r="AM23" s="22">
        <v>0</v>
      </c>
      <c r="AN23" s="45">
        <f t="shared" si="5"/>
        <v>0</v>
      </c>
    </row>
    <row r="24" spans="2:40" x14ac:dyDescent="0.25">
      <c r="B24" s="53">
        <f>B23*(((1+Dashboard!$C$20)^(1/30)))</f>
        <v>1008744.4147039575</v>
      </c>
      <c r="C24" s="1">
        <v>20</v>
      </c>
      <c r="D24" s="51">
        <f t="shared" si="6"/>
        <v>46193</v>
      </c>
      <c r="E24" s="7">
        <f t="shared" si="7"/>
        <v>9</v>
      </c>
      <c r="F24" s="31">
        <f>E24*Dashboard!$I$3</f>
        <v>15102</v>
      </c>
      <c r="G24" s="18">
        <f>E7*Dashboard!$I$4</f>
        <v>15750</v>
      </c>
      <c r="H24" s="48"/>
      <c r="I24" s="7">
        <f t="shared" si="8"/>
        <v>9</v>
      </c>
      <c r="J24" s="31">
        <f>I24*Dashboard!$I$3</f>
        <v>15102</v>
      </c>
      <c r="K24" s="29">
        <f>I5*Dashboard!$I$4</f>
        <v>15750</v>
      </c>
      <c r="L24" s="48"/>
      <c r="M24" s="7">
        <f t="shared" si="9"/>
        <v>12</v>
      </c>
      <c r="N24" s="31">
        <f>M24*Dashboard!$I$3</f>
        <v>20136</v>
      </c>
      <c r="O24" s="18">
        <v>0</v>
      </c>
      <c r="P24" s="49"/>
      <c r="Q24" s="32">
        <f t="shared" si="10"/>
        <v>30</v>
      </c>
      <c r="R24" s="31">
        <f t="shared" si="0"/>
        <v>50340</v>
      </c>
      <c r="S24" s="31">
        <f t="shared" si="1"/>
        <v>31500</v>
      </c>
      <c r="T24" s="31">
        <f t="shared" si="13"/>
        <v>-18840</v>
      </c>
      <c r="U24" s="31">
        <f>U23-R24+S24+V24-Custos!D24+Z23+AF23+AL23-AB23-AH23-AM23</f>
        <v>20043.031988824168</v>
      </c>
      <c r="V24" s="31">
        <f>U23*(((1+Dashboard!$C$17)^(1/30))-1)</f>
        <v>15.187449648370476</v>
      </c>
      <c r="W24" s="29">
        <f t="shared" si="2"/>
        <v>70383.031988824165</v>
      </c>
      <c r="X24" s="45">
        <f>-R24+S24-Custos!D24</f>
        <v>-20343.400000000001</v>
      </c>
      <c r="Z24" s="83">
        <v>0</v>
      </c>
      <c r="AA24" s="33">
        <f>AC23*(((1+Dashboard!$C$20)^(1/30))-1)</f>
        <v>277.27971257983586</v>
      </c>
      <c r="AB24" s="84">
        <v>0</v>
      </c>
      <c r="AC24" s="18">
        <f t="shared" si="11"/>
        <v>605246.64882237453</v>
      </c>
      <c r="AD24" s="47">
        <f t="shared" si="3"/>
        <v>0</v>
      </c>
      <c r="AF24" s="83">
        <v>0</v>
      </c>
      <c r="AG24" s="33">
        <f>AI23*(((1+Dashboard!$C$21)^(1/30))-1)</f>
        <v>51.651830284899148</v>
      </c>
      <c r="AH24" s="84">
        <v>0</v>
      </c>
      <c r="AI24" s="29">
        <f t="shared" si="12"/>
        <v>100976.87985118898</v>
      </c>
      <c r="AJ24" s="45">
        <f t="shared" si="4"/>
        <v>0</v>
      </c>
      <c r="AL24" s="83">
        <v>0</v>
      </c>
      <c r="AM24" s="22">
        <v>0</v>
      </c>
      <c r="AN24" s="45">
        <f t="shared" si="5"/>
        <v>0</v>
      </c>
    </row>
    <row r="25" spans="2:40" x14ac:dyDescent="0.25">
      <c r="B25" s="53">
        <f>B24*(((1+Dashboard!$C$20)^(1/30)))</f>
        <v>1009206.7593707416</v>
      </c>
      <c r="C25" s="1">
        <v>21</v>
      </c>
      <c r="D25" s="51">
        <f t="shared" si="6"/>
        <v>46194</v>
      </c>
      <c r="E25" s="7">
        <f t="shared" si="7"/>
        <v>9</v>
      </c>
      <c r="F25" s="31">
        <f>E25*Dashboard!$I$3</f>
        <v>15102</v>
      </c>
      <c r="G25" s="18">
        <f>E8*Dashboard!$I$4</f>
        <v>15750</v>
      </c>
      <c r="H25" s="48"/>
      <c r="I25" s="7">
        <f t="shared" si="8"/>
        <v>9</v>
      </c>
      <c r="J25" s="31">
        <f>I25*Dashboard!$I$3</f>
        <v>15102</v>
      </c>
      <c r="K25" s="29">
        <f>I6*Dashboard!$I$4</f>
        <v>15750</v>
      </c>
      <c r="L25" s="48"/>
      <c r="M25" s="7">
        <f t="shared" si="9"/>
        <v>12</v>
      </c>
      <c r="N25" s="31">
        <f>M25*Dashboard!$I$3</f>
        <v>20136</v>
      </c>
      <c r="O25" s="18">
        <v>0</v>
      </c>
      <c r="P25" s="49"/>
      <c r="Q25" s="32">
        <f t="shared" si="10"/>
        <v>30</v>
      </c>
      <c r="R25" s="31">
        <f t="shared" si="0"/>
        <v>50340</v>
      </c>
      <c r="S25" s="31">
        <f t="shared" si="1"/>
        <v>31500</v>
      </c>
      <c r="T25" s="31">
        <f t="shared" si="13"/>
        <v>-18840</v>
      </c>
      <c r="U25" s="31">
        <f>U24-R25+S25+V25-Custos!D25+Z24+AF24+AL24-AB24-AH24-AM24</f>
        <v>-292.82792806455791</v>
      </c>
      <c r="V25" s="31">
        <f>U24*(((1+Dashboard!$C$17)^(1/30))-1)</f>
        <v>7.5400831112738427</v>
      </c>
      <c r="W25" s="29">
        <f t="shared" si="2"/>
        <v>50047.172071935442</v>
      </c>
      <c r="X25" s="45">
        <f>-R25+S25-Custos!D25</f>
        <v>-20343.400000000001</v>
      </c>
      <c r="Z25" s="83">
        <v>0</v>
      </c>
      <c r="AA25" s="33">
        <f>AC24*(((1+Dashboard!$C$20)^(1/30))-1)</f>
        <v>277.40680007043306</v>
      </c>
      <c r="AB25" s="84">
        <v>0</v>
      </c>
      <c r="AC25" s="18">
        <f t="shared" si="11"/>
        <v>605524.05562244495</v>
      </c>
      <c r="AD25" s="47">
        <f t="shared" si="3"/>
        <v>0</v>
      </c>
      <c r="AF25" s="83">
        <v>0</v>
      </c>
      <c r="AG25" s="33">
        <f>AI24*(((1+Dashboard!$C$21)^(1/30))-1)</f>
        <v>51.678264820882831</v>
      </c>
      <c r="AH25" s="84">
        <v>0</v>
      </c>
      <c r="AI25" s="29">
        <f t="shared" si="12"/>
        <v>101028.55811600987</v>
      </c>
      <c r="AJ25" s="45">
        <f t="shared" si="4"/>
        <v>0</v>
      </c>
      <c r="AL25" s="83">
        <v>0</v>
      </c>
      <c r="AM25" s="22">
        <v>0</v>
      </c>
      <c r="AN25" s="45">
        <f t="shared" si="5"/>
        <v>0</v>
      </c>
    </row>
    <row r="26" spans="2:40" x14ac:dyDescent="0.25">
      <c r="B26" s="53">
        <f>B25*(((1+Dashboard!$C$20)^(1/30)))</f>
        <v>1009669.3159470914</v>
      </c>
      <c r="C26" s="1">
        <v>22</v>
      </c>
      <c r="D26" s="51">
        <f t="shared" si="6"/>
        <v>46195</v>
      </c>
      <c r="E26" s="7">
        <f t="shared" si="7"/>
        <v>9</v>
      </c>
      <c r="F26" s="31">
        <f>E26*Dashboard!$I$3</f>
        <v>15102</v>
      </c>
      <c r="G26" s="18">
        <f>E9*Dashboard!$I$4</f>
        <v>15750</v>
      </c>
      <c r="H26" s="48"/>
      <c r="I26" s="7">
        <f t="shared" si="8"/>
        <v>9</v>
      </c>
      <c r="J26" s="31">
        <f>I26*Dashboard!$I$3</f>
        <v>15102</v>
      </c>
      <c r="K26" s="29">
        <f>I7*Dashboard!$I$4</f>
        <v>15750</v>
      </c>
      <c r="L26" s="48"/>
      <c r="M26" s="7">
        <f t="shared" si="9"/>
        <v>12</v>
      </c>
      <c r="N26" s="31">
        <f>M26*Dashboard!$I$3</f>
        <v>20136</v>
      </c>
      <c r="O26" s="18">
        <f>M5*Dashboard!$I$4</f>
        <v>21000</v>
      </c>
      <c r="P26" s="49"/>
      <c r="Q26" s="32">
        <f t="shared" si="10"/>
        <v>30</v>
      </c>
      <c r="R26" s="31">
        <f t="shared" si="0"/>
        <v>50340</v>
      </c>
      <c r="S26" s="31">
        <f t="shared" si="1"/>
        <v>52500</v>
      </c>
      <c r="T26" s="31">
        <f t="shared" si="13"/>
        <v>2160</v>
      </c>
      <c r="U26" s="31">
        <f>U25-R26+S26+V26-Custos!D26+Z25+AF25+AL25-AB25-AH25-AM25</f>
        <v>363.66191161058941</v>
      </c>
      <c r="V26" s="31">
        <f>U25*(((1+Dashboard!$C$17)^(1/30))-1)</f>
        <v>-0.11016032485204924</v>
      </c>
      <c r="W26" s="29">
        <f t="shared" si="2"/>
        <v>50703.661911610587</v>
      </c>
      <c r="X26" s="45">
        <f>-R26+S26-Custos!D26</f>
        <v>656.59999999999991</v>
      </c>
      <c r="Z26" s="83">
        <v>0</v>
      </c>
      <c r="AA26" s="33">
        <f>AC25*(((1+Dashboard!$C$20)^(1/30))-1)</f>
        <v>277.53394580990152</v>
      </c>
      <c r="AB26" s="84">
        <v>0</v>
      </c>
      <c r="AC26" s="18">
        <f t="shared" si="11"/>
        <v>605801.58956825489</v>
      </c>
      <c r="AD26" s="47">
        <f t="shared" si="3"/>
        <v>0</v>
      </c>
      <c r="AF26" s="83">
        <v>0</v>
      </c>
      <c r="AG26" s="33">
        <f>AI25*(((1+Dashboard!$C$21)^(1/30))-1)</f>
        <v>51.704712885616395</v>
      </c>
      <c r="AH26" s="84">
        <v>0</v>
      </c>
      <c r="AI26" s="29">
        <f t="shared" si="12"/>
        <v>101080.26282889549</v>
      </c>
      <c r="AJ26" s="45">
        <f t="shared" si="4"/>
        <v>0</v>
      </c>
      <c r="AL26" s="83">
        <v>0</v>
      </c>
      <c r="AM26" s="22">
        <v>0</v>
      </c>
      <c r="AN26" s="45">
        <f t="shared" si="5"/>
        <v>0</v>
      </c>
    </row>
    <row r="27" spans="2:40" x14ac:dyDescent="0.25">
      <c r="B27" s="53">
        <f>B26*(((1+Dashboard!$C$20)^(1/30)))</f>
        <v>1010132.0845301331</v>
      </c>
      <c r="C27" s="1">
        <v>23</v>
      </c>
      <c r="D27" s="51">
        <f t="shared" si="6"/>
        <v>46196</v>
      </c>
      <c r="E27" s="7">
        <f t="shared" si="7"/>
        <v>9</v>
      </c>
      <c r="F27" s="31">
        <f>E27*Dashboard!$I$3</f>
        <v>15102</v>
      </c>
      <c r="G27" s="18">
        <f>E10*Dashboard!$I$4</f>
        <v>15750</v>
      </c>
      <c r="H27" s="48"/>
      <c r="I27" s="7">
        <f t="shared" si="8"/>
        <v>9</v>
      </c>
      <c r="J27" s="31">
        <f>I27*Dashboard!$I$3</f>
        <v>15102</v>
      </c>
      <c r="K27" s="29">
        <f>I8*Dashboard!$I$4</f>
        <v>15750</v>
      </c>
      <c r="L27" s="48"/>
      <c r="M27" s="7">
        <f t="shared" si="9"/>
        <v>12</v>
      </c>
      <c r="N27" s="31">
        <f>M27*Dashboard!$I$3</f>
        <v>20136</v>
      </c>
      <c r="O27" s="18">
        <f>M6*Dashboard!$I$4</f>
        <v>21000</v>
      </c>
      <c r="P27" s="48"/>
      <c r="Q27" s="32">
        <f t="shared" si="10"/>
        <v>30</v>
      </c>
      <c r="R27" s="31">
        <f t="shared" si="0"/>
        <v>50340</v>
      </c>
      <c r="S27" s="31">
        <f t="shared" si="1"/>
        <v>52500</v>
      </c>
      <c r="T27" s="31">
        <f t="shared" si="13"/>
        <v>2160</v>
      </c>
      <c r="U27" s="31">
        <f>U26-R27+S27+V27-Custos!D27+Z26+AF26+AL26-AB26-AH26-AM26</f>
        <v>1020.3987193071207</v>
      </c>
      <c r="V27" s="31">
        <f>U26*(((1+Dashboard!$C$17)^(1/30))-1)</f>
        <v>0.13680769653401273</v>
      </c>
      <c r="W27" s="29">
        <f t="shared" si="2"/>
        <v>51360.398719307123</v>
      </c>
      <c r="X27" s="45">
        <f>-R27+S27-Custos!D27</f>
        <v>656.59999999999991</v>
      </c>
      <c r="Z27" s="83">
        <v>0</v>
      </c>
      <c r="AA27" s="33">
        <f>AC26*(((1+Dashboard!$C$20)^(1/30))-1)</f>
        <v>277.66114982493878</v>
      </c>
      <c r="AB27" s="84">
        <v>0</v>
      </c>
      <c r="AC27" s="18">
        <f t="shared" si="11"/>
        <v>606079.25071807986</v>
      </c>
      <c r="AD27" s="47">
        <f t="shared" si="3"/>
        <v>0</v>
      </c>
      <c r="AF27" s="83">
        <v>0</v>
      </c>
      <c r="AG27" s="33">
        <f>AI26*(((1+Dashboard!$C$21)^(1/30))-1)</f>
        <v>51.731174486023626</v>
      </c>
      <c r="AH27" s="84">
        <v>0</v>
      </c>
      <c r="AI27" s="29">
        <f t="shared" si="12"/>
        <v>101131.99400338151</v>
      </c>
      <c r="AJ27" s="45">
        <f t="shared" si="4"/>
        <v>0</v>
      </c>
      <c r="AL27" s="83">
        <v>0</v>
      </c>
      <c r="AM27" s="22">
        <v>0</v>
      </c>
      <c r="AN27" s="45">
        <f t="shared" si="5"/>
        <v>0</v>
      </c>
    </row>
    <row r="28" spans="2:40" x14ac:dyDescent="0.25">
      <c r="B28" s="53">
        <f>B27*(((1+Dashboard!$C$20)^(1/30)))</f>
        <v>1010595.0652170369</v>
      </c>
      <c r="C28" s="1">
        <v>24</v>
      </c>
      <c r="D28" s="51">
        <f t="shared" si="6"/>
        <v>46197</v>
      </c>
      <c r="E28" s="7">
        <f t="shared" si="7"/>
        <v>9</v>
      </c>
      <c r="F28" s="31">
        <f>E28*Dashboard!$I$3</f>
        <v>15102</v>
      </c>
      <c r="G28" s="18">
        <f>E11*Dashboard!$I$4</f>
        <v>15750</v>
      </c>
      <c r="H28" s="48"/>
      <c r="I28" s="7">
        <f t="shared" si="8"/>
        <v>9</v>
      </c>
      <c r="J28" s="31">
        <f>I28*Dashboard!$I$3</f>
        <v>15102</v>
      </c>
      <c r="K28" s="29">
        <f>I9*Dashboard!$I$4</f>
        <v>15750</v>
      </c>
      <c r="L28" s="48"/>
      <c r="M28" s="7">
        <f t="shared" si="9"/>
        <v>12</v>
      </c>
      <c r="N28" s="31">
        <f>M28*Dashboard!$I$3</f>
        <v>20136</v>
      </c>
      <c r="O28" s="18">
        <f>M7*Dashboard!$I$4</f>
        <v>21000</v>
      </c>
      <c r="P28" s="48"/>
      <c r="Q28" s="32">
        <f t="shared" si="10"/>
        <v>30</v>
      </c>
      <c r="R28" s="31">
        <f t="shared" si="0"/>
        <v>50340</v>
      </c>
      <c r="S28" s="31">
        <f t="shared" si="1"/>
        <v>52500</v>
      </c>
      <c r="T28" s="31">
        <f t="shared" si="13"/>
        <v>2160</v>
      </c>
      <c r="U28" s="31">
        <f>U27-R28+S28+V28-Custos!D28+Z27+AF27+AL27-AB27-AH27-AM27</f>
        <v>1677.3825879331121</v>
      </c>
      <c r="V28" s="31">
        <f>U27*(((1+Dashboard!$C$17)^(1/30))-1)</f>
        <v>0.38386862598947757</v>
      </c>
      <c r="W28" s="29">
        <f t="shared" si="2"/>
        <v>52017.382587933113</v>
      </c>
      <c r="X28" s="45">
        <f>-R28+S28-Custos!D28</f>
        <v>656.59999999999991</v>
      </c>
      <c r="Z28" s="83">
        <v>0</v>
      </c>
      <c r="AA28" s="33">
        <f>AC27*(((1+Dashboard!$C$20)^(1/30))-1)</f>
        <v>277.78841214225469</v>
      </c>
      <c r="AB28" s="84">
        <v>0</v>
      </c>
      <c r="AC28" s="18">
        <f t="shared" si="11"/>
        <v>606357.03913022217</v>
      </c>
      <c r="AD28" s="47">
        <f t="shared" si="3"/>
        <v>0</v>
      </c>
      <c r="AF28" s="83">
        <v>0</v>
      </c>
      <c r="AG28" s="33">
        <f>AI27*(((1+Dashboard!$C$21)^(1/30))-1)</f>
        <v>51.757649629031839</v>
      </c>
      <c r="AH28" s="84">
        <v>0</v>
      </c>
      <c r="AI28" s="29">
        <f t="shared" si="12"/>
        <v>101183.75165301053</v>
      </c>
      <c r="AJ28" s="45">
        <f t="shared" si="4"/>
        <v>0</v>
      </c>
      <c r="AL28" s="83">
        <v>0</v>
      </c>
      <c r="AM28" s="22">
        <v>0</v>
      </c>
      <c r="AN28" s="45">
        <f t="shared" si="5"/>
        <v>0</v>
      </c>
    </row>
    <row r="29" spans="2:40" x14ac:dyDescent="0.25">
      <c r="B29" s="53">
        <f>B28*(((1+Dashboard!$C$20)^(1/30)))</f>
        <v>1011058.2581050178</v>
      </c>
      <c r="C29" s="1">
        <v>25</v>
      </c>
      <c r="D29" s="51">
        <f t="shared" si="6"/>
        <v>46198</v>
      </c>
      <c r="E29" s="7">
        <f t="shared" si="7"/>
        <v>9</v>
      </c>
      <c r="F29" s="31">
        <f>E29*Dashboard!$I$3</f>
        <v>15102</v>
      </c>
      <c r="G29" s="18">
        <f>E12*Dashboard!$I$4</f>
        <v>15750</v>
      </c>
      <c r="H29" s="48"/>
      <c r="I29" s="7">
        <f t="shared" si="8"/>
        <v>9</v>
      </c>
      <c r="J29" s="31">
        <f>I29*Dashboard!$I$3</f>
        <v>15102</v>
      </c>
      <c r="K29" s="29">
        <f>I10*Dashboard!$I$4</f>
        <v>15750</v>
      </c>
      <c r="L29" s="48"/>
      <c r="M29" s="7">
        <f t="shared" si="9"/>
        <v>12</v>
      </c>
      <c r="N29" s="31">
        <f>M29*Dashboard!$I$3</f>
        <v>20136</v>
      </c>
      <c r="O29" s="18">
        <f>M8*Dashboard!$I$4</f>
        <v>21000</v>
      </c>
      <c r="P29" s="48"/>
      <c r="Q29" s="32">
        <f t="shared" si="10"/>
        <v>30</v>
      </c>
      <c r="R29" s="31">
        <f t="shared" si="0"/>
        <v>50340</v>
      </c>
      <c r="S29" s="31">
        <f t="shared" si="1"/>
        <v>52500</v>
      </c>
      <c r="T29" s="31">
        <f t="shared" si="13"/>
        <v>2160</v>
      </c>
      <c r="U29" s="31">
        <f>U28-R29+S29+V29-Custos!D29+Z28+AF28+AL28-AB28-AH28-AM28</f>
        <v>2334.6136104315783</v>
      </c>
      <c r="V29" s="31">
        <f>U28*(((1+Dashboard!$C$17)^(1/30))-1)</f>
        <v>0.63102249846587433</v>
      </c>
      <c r="W29" s="29">
        <f t="shared" si="2"/>
        <v>52674.613610431581</v>
      </c>
      <c r="X29" s="45">
        <f>-R29+S29-Custos!D29</f>
        <v>656.59999999999991</v>
      </c>
      <c r="Z29" s="83">
        <v>0</v>
      </c>
      <c r="AA29" s="33">
        <f>AC28*(((1+Dashboard!$C$20)^(1/30))-1)</f>
        <v>277.91573278857129</v>
      </c>
      <c r="AB29" s="84">
        <v>0</v>
      </c>
      <c r="AC29" s="18">
        <f t="shared" si="11"/>
        <v>606634.95486301079</v>
      </c>
      <c r="AD29" s="47">
        <f t="shared" si="3"/>
        <v>0</v>
      </c>
      <c r="AF29" s="83">
        <v>0</v>
      </c>
      <c r="AG29" s="33">
        <f>AI28*(((1+Dashboard!$C$21)^(1/30))-1)</f>
        <v>51.78413832157193</v>
      </c>
      <c r="AH29" s="84">
        <v>0</v>
      </c>
      <c r="AI29" s="29">
        <f t="shared" si="12"/>
        <v>101235.53579133211</v>
      </c>
      <c r="AJ29" s="45">
        <f t="shared" si="4"/>
        <v>0</v>
      </c>
      <c r="AL29" s="83">
        <v>0</v>
      </c>
      <c r="AM29" s="22">
        <v>0</v>
      </c>
      <c r="AN29" s="45">
        <f t="shared" si="5"/>
        <v>0</v>
      </c>
    </row>
    <row r="30" spans="2:40" x14ac:dyDescent="0.25">
      <c r="B30" s="53">
        <f>B29*(((1+Dashboard!$C$20)^(1/30)))</f>
        <v>1011521.6632913356</v>
      </c>
      <c r="C30" s="1">
        <v>26</v>
      </c>
      <c r="D30" s="51">
        <f t="shared" si="6"/>
        <v>46199</v>
      </c>
      <c r="E30" s="7">
        <f t="shared" si="7"/>
        <v>9</v>
      </c>
      <c r="F30" s="31">
        <f>E30*Dashboard!$I$3</f>
        <v>15102</v>
      </c>
      <c r="G30" s="18">
        <f>E13*Dashboard!$I$4</f>
        <v>15750</v>
      </c>
      <c r="H30" s="48"/>
      <c r="I30" s="7">
        <f t="shared" si="8"/>
        <v>9</v>
      </c>
      <c r="J30" s="31">
        <f>I30*Dashboard!$I$3</f>
        <v>15102</v>
      </c>
      <c r="K30" s="29">
        <f>I11*Dashboard!$I$4</f>
        <v>15750</v>
      </c>
      <c r="L30" s="48"/>
      <c r="M30" s="7">
        <f t="shared" si="9"/>
        <v>12</v>
      </c>
      <c r="N30" s="31">
        <f>M30*Dashboard!$I$3</f>
        <v>20136</v>
      </c>
      <c r="O30" s="18">
        <f>M9*Dashboard!$I$4</f>
        <v>21000</v>
      </c>
      <c r="P30" s="48"/>
      <c r="Q30" s="32">
        <f t="shared" si="10"/>
        <v>30</v>
      </c>
      <c r="R30" s="31">
        <f t="shared" si="0"/>
        <v>50340</v>
      </c>
      <c r="S30" s="31">
        <f t="shared" si="1"/>
        <v>52500</v>
      </c>
      <c r="T30" s="31">
        <f t="shared" si="13"/>
        <v>2160</v>
      </c>
      <c r="U30" s="31">
        <f>U29-R30+S30+V30-Custos!D30+Z29+AF29+AL29-AB29-AH29-AM29</f>
        <v>2992.0918797805084</v>
      </c>
      <c r="V30" s="31">
        <f>U29*(((1+Dashboard!$C$17)^(1/30))-1)</f>
        <v>0.878269348927876</v>
      </c>
      <c r="W30" s="29">
        <f t="shared" si="2"/>
        <v>53332.091879780506</v>
      </c>
      <c r="X30" s="45">
        <f>-R30+S30-Custos!D30</f>
        <v>656.59999999999991</v>
      </c>
      <c r="Z30" s="83">
        <v>0</v>
      </c>
      <c r="AA30" s="33">
        <f>AC29*(((1+Dashboard!$C$20)^(1/30))-1)</f>
        <v>278.04311179062302</v>
      </c>
      <c r="AB30" s="84">
        <v>0</v>
      </c>
      <c r="AC30" s="18">
        <f t="shared" si="11"/>
        <v>606912.99797480146</v>
      </c>
      <c r="AD30" s="47">
        <f t="shared" si="3"/>
        <v>0</v>
      </c>
      <c r="AF30" s="83">
        <v>0</v>
      </c>
      <c r="AG30" s="33">
        <f>AI29*(((1+Dashboard!$C$21)^(1/30))-1)</f>
        <v>51.810640570578308</v>
      </c>
      <c r="AH30" s="84">
        <v>0</v>
      </c>
      <c r="AI30" s="29">
        <f t="shared" si="12"/>
        <v>101287.34643190268</v>
      </c>
      <c r="AJ30" s="45">
        <f t="shared" si="4"/>
        <v>0</v>
      </c>
      <c r="AL30" s="83">
        <v>0</v>
      </c>
      <c r="AM30" s="22">
        <v>0</v>
      </c>
      <c r="AN30" s="45">
        <f t="shared" si="5"/>
        <v>0</v>
      </c>
    </row>
    <row r="31" spans="2:40" x14ac:dyDescent="0.25">
      <c r="B31" s="53">
        <f>B30*(((1+Dashboard!$C$20)^(1/30)))</f>
        <v>1011985.2808732942</v>
      </c>
      <c r="C31" s="1">
        <v>27</v>
      </c>
      <c r="D31" s="51">
        <f t="shared" si="6"/>
        <v>46200</v>
      </c>
      <c r="E31" s="7">
        <f t="shared" si="7"/>
        <v>9</v>
      </c>
      <c r="F31" s="31">
        <f>E31*Dashboard!$I$3</f>
        <v>15102</v>
      </c>
      <c r="G31" s="18">
        <f>E14*Dashboard!$I$4</f>
        <v>15750</v>
      </c>
      <c r="H31" s="48"/>
      <c r="I31" s="7">
        <f t="shared" si="8"/>
        <v>9</v>
      </c>
      <c r="J31" s="31">
        <f>I31*Dashboard!$I$3</f>
        <v>15102</v>
      </c>
      <c r="K31" s="29">
        <f>I12*Dashboard!$I$4</f>
        <v>15750</v>
      </c>
      <c r="L31" s="48"/>
      <c r="M31" s="7">
        <f t="shared" si="9"/>
        <v>12</v>
      </c>
      <c r="N31" s="31">
        <f>M31*Dashboard!$I$3</f>
        <v>20136</v>
      </c>
      <c r="O31" s="18">
        <f>M10*Dashboard!$I$4</f>
        <v>21000</v>
      </c>
      <c r="P31" s="48"/>
      <c r="Q31" s="32">
        <f t="shared" si="10"/>
        <v>30</v>
      </c>
      <c r="R31" s="31">
        <f t="shared" si="0"/>
        <v>50340</v>
      </c>
      <c r="S31" s="31">
        <f t="shared" si="1"/>
        <v>52500</v>
      </c>
      <c r="T31" s="31">
        <f t="shared" si="13"/>
        <v>2160</v>
      </c>
      <c r="U31" s="31">
        <f>U30-R31+S31+V31-Custos!D31+Z30+AF30+AL30-AB30-AH30-AM30</f>
        <v>3649.8174889928591</v>
      </c>
      <c r="V31" s="31">
        <f>U30*(((1+Dashboard!$C$17)^(1/30))-1)</f>
        <v>1.1256092123533123</v>
      </c>
      <c r="W31" s="29">
        <f t="shared" si="2"/>
        <v>53989.817488992856</v>
      </c>
      <c r="X31" s="45">
        <f>-R31+S31-Custos!D31</f>
        <v>656.59999999999991</v>
      </c>
      <c r="Z31" s="83">
        <v>0</v>
      </c>
      <c r="AA31" s="33">
        <f>AC30*(((1+Dashboard!$C$20)^(1/30))-1)</f>
        <v>278.17054917515634</v>
      </c>
      <c r="AB31" s="84">
        <v>0</v>
      </c>
      <c r="AC31" s="18">
        <f t="shared" si="11"/>
        <v>607191.16852397658</v>
      </c>
      <c r="AD31" s="47">
        <f t="shared" si="3"/>
        <v>0</v>
      </c>
      <c r="AF31" s="83">
        <v>0</v>
      </c>
      <c r="AG31" s="33">
        <f>AI30*(((1+Dashboard!$C$21)^(1/30))-1)</f>
        <v>51.837156382988944</v>
      </c>
      <c r="AH31" s="84">
        <v>0</v>
      </c>
      <c r="AI31" s="29">
        <f t="shared" si="12"/>
        <v>101339.18358828567</v>
      </c>
      <c r="AJ31" s="45">
        <f t="shared" si="4"/>
        <v>0</v>
      </c>
      <c r="AL31" s="83">
        <v>0</v>
      </c>
      <c r="AM31" s="22">
        <v>0</v>
      </c>
      <c r="AN31" s="45">
        <f t="shared" si="5"/>
        <v>0</v>
      </c>
    </row>
    <row r="32" spans="2:40" x14ac:dyDescent="0.25">
      <c r="B32" s="53">
        <f>B31*(((1+Dashboard!$C$20)^(1/30)))</f>
        <v>1012449.1109482425</v>
      </c>
      <c r="C32" s="1">
        <v>28</v>
      </c>
      <c r="D32" s="51">
        <f t="shared" si="6"/>
        <v>46201</v>
      </c>
      <c r="E32" s="7">
        <f t="shared" si="7"/>
        <v>9</v>
      </c>
      <c r="F32" s="31">
        <f>E32*Dashboard!$I$3</f>
        <v>15102</v>
      </c>
      <c r="G32" s="18">
        <f>E15*Dashboard!$I$4</f>
        <v>15750</v>
      </c>
      <c r="H32" s="48"/>
      <c r="I32" s="7">
        <f t="shared" si="8"/>
        <v>9</v>
      </c>
      <c r="J32" s="31">
        <f>I32*Dashboard!$I$3</f>
        <v>15102</v>
      </c>
      <c r="K32" s="29">
        <f>I13*Dashboard!$I$4</f>
        <v>15750</v>
      </c>
      <c r="L32" s="48"/>
      <c r="M32" s="7">
        <f t="shared" si="9"/>
        <v>12</v>
      </c>
      <c r="N32" s="31">
        <f>M32*Dashboard!$I$3</f>
        <v>20136</v>
      </c>
      <c r="O32" s="18">
        <f>M11*Dashboard!$I$4</f>
        <v>21000</v>
      </c>
      <c r="P32" s="48"/>
      <c r="Q32" s="32">
        <f t="shared" si="10"/>
        <v>30</v>
      </c>
      <c r="R32" s="31">
        <f t="shared" si="0"/>
        <v>50340</v>
      </c>
      <c r="S32" s="31">
        <f t="shared" si="1"/>
        <v>52500</v>
      </c>
      <c r="T32" s="31">
        <f t="shared" si="13"/>
        <v>2160</v>
      </c>
      <c r="U32" s="31">
        <f>U31-R32+S32+V32-Custos!D32+Z31+AF31+AL31-AB31-AH31-AM31</f>
        <v>4307.7905311165887</v>
      </c>
      <c r="V32" s="31">
        <f>U31*(((1+Dashboard!$C$17)^(1/30))-1)</f>
        <v>1.3730421237331683</v>
      </c>
      <c r="W32" s="29">
        <f t="shared" si="2"/>
        <v>54647.790531116589</v>
      </c>
      <c r="X32" s="45">
        <f>-R32+S32-Custos!D32</f>
        <v>656.59999999999991</v>
      </c>
      <c r="Z32" s="83">
        <v>0</v>
      </c>
      <c r="AA32" s="33">
        <f>AC31*(((1+Dashboard!$C$20)^(1/30))-1)</f>
        <v>278.29804496893007</v>
      </c>
      <c r="AB32" s="84">
        <v>0</v>
      </c>
      <c r="AC32" s="18">
        <f t="shared" si="11"/>
        <v>607469.46656894556</v>
      </c>
      <c r="AD32" s="47">
        <f t="shared" si="3"/>
        <v>0</v>
      </c>
      <c r="AF32" s="83">
        <v>0</v>
      </c>
      <c r="AG32" s="33">
        <f>AI31*(((1+Dashboard!$C$21)^(1/30))-1)</f>
        <v>51.863685765745366</v>
      </c>
      <c r="AH32" s="84">
        <v>0</v>
      </c>
      <c r="AI32" s="29">
        <f t="shared" si="12"/>
        <v>101391.04727405141</v>
      </c>
      <c r="AJ32" s="45">
        <f t="shared" si="4"/>
        <v>0</v>
      </c>
      <c r="AL32" s="83">
        <v>0</v>
      </c>
      <c r="AM32" s="22">
        <v>0</v>
      </c>
      <c r="AN32" s="45">
        <f t="shared" si="5"/>
        <v>0</v>
      </c>
    </row>
    <row r="33" spans="2:40" x14ac:dyDescent="0.25">
      <c r="B33" s="53">
        <f>B32*(((1+Dashboard!$C$20)^(1/30)))</f>
        <v>1012913.1536135736</v>
      </c>
      <c r="C33" s="1">
        <v>29</v>
      </c>
      <c r="D33" s="51">
        <f t="shared" si="6"/>
        <v>46202</v>
      </c>
      <c r="E33" s="7">
        <f t="shared" si="7"/>
        <v>9</v>
      </c>
      <c r="F33" s="31">
        <f>E33*Dashboard!$I$3</f>
        <v>15102</v>
      </c>
      <c r="G33" s="18">
        <f>E16*Dashboard!$I$4</f>
        <v>15750</v>
      </c>
      <c r="H33" s="48"/>
      <c r="I33" s="7">
        <f t="shared" si="8"/>
        <v>9</v>
      </c>
      <c r="J33" s="31">
        <f>I33*Dashboard!$I$3</f>
        <v>15102</v>
      </c>
      <c r="K33" s="29">
        <f>I14*Dashboard!$I$4</f>
        <v>15750</v>
      </c>
      <c r="L33" s="48"/>
      <c r="M33" s="7">
        <f t="shared" si="9"/>
        <v>12</v>
      </c>
      <c r="N33" s="31">
        <f>M33*Dashboard!$I$3</f>
        <v>20136</v>
      </c>
      <c r="O33" s="18">
        <f>M12*Dashboard!$I$4</f>
        <v>21000</v>
      </c>
      <c r="P33" s="48"/>
      <c r="Q33" s="32">
        <f t="shared" si="10"/>
        <v>30</v>
      </c>
      <c r="R33" s="31">
        <f t="shared" si="0"/>
        <v>50340</v>
      </c>
      <c r="S33" s="31">
        <f t="shared" si="1"/>
        <v>52500</v>
      </c>
      <c r="T33" s="31">
        <f t="shared" si="13"/>
        <v>2160</v>
      </c>
      <c r="U33" s="31">
        <f>U32-R33+S33+V33-Custos!D33+Z32+AF32+AL32-AB32-AH32-AM32</f>
        <v>4966.0110992346599</v>
      </c>
      <c r="V33" s="31">
        <f>U32*(((1+Dashboard!$C$17)^(1/30))-1)</f>
        <v>1.6205681180715954</v>
      </c>
      <c r="W33" s="29">
        <f t="shared" si="2"/>
        <v>55306.01109923466</v>
      </c>
      <c r="X33" s="45">
        <f>-R33+S33-Custos!D33</f>
        <v>656.59999999999991</v>
      </c>
      <c r="Z33" s="83">
        <v>0</v>
      </c>
      <c r="AA33" s="33">
        <f>AC32*(((1+Dashboard!$C$20)^(1/30))-1)</f>
        <v>278.42559919871542</v>
      </c>
      <c r="AB33" s="84">
        <v>0</v>
      </c>
      <c r="AC33" s="18">
        <f t="shared" si="11"/>
        <v>607747.89216814423</v>
      </c>
      <c r="AD33" s="47">
        <f t="shared" si="3"/>
        <v>0</v>
      </c>
      <c r="AF33" s="83">
        <v>0</v>
      </c>
      <c r="AG33" s="33">
        <f>AI32*(((1+Dashboard!$C$21)^(1/30))-1)</f>
        <v>51.890228725792646</v>
      </c>
      <c r="AH33" s="84">
        <v>0</v>
      </c>
      <c r="AI33" s="29">
        <f t="shared" si="12"/>
        <v>101442.9375027772</v>
      </c>
      <c r="AJ33" s="45">
        <f t="shared" si="4"/>
        <v>0</v>
      </c>
      <c r="AL33" s="83">
        <v>0</v>
      </c>
      <c r="AM33" s="22">
        <v>0</v>
      </c>
      <c r="AN33" s="45">
        <f t="shared" si="5"/>
        <v>0</v>
      </c>
    </row>
    <row r="34" spans="2:40" x14ac:dyDescent="0.25">
      <c r="B34" s="53">
        <f>B33*(((1+Dashboard!$C$20)^(1/30)))</f>
        <v>1013377.4089667258</v>
      </c>
      <c r="C34" s="1">
        <v>30</v>
      </c>
      <c r="D34" s="51">
        <f t="shared" si="6"/>
        <v>46203</v>
      </c>
      <c r="E34" s="7">
        <f t="shared" si="7"/>
        <v>9</v>
      </c>
      <c r="F34" s="31">
        <f>E34*Dashboard!$I$3</f>
        <v>15102</v>
      </c>
      <c r="G34" s="18">
        <f>E17*Dashboard!$I$4</f>
        <v>15750</v>
      </c>
      <c r="H34" s="48"/>
      <c r="I34" s="7">
        <f t="shared" si="8"/>
        <v>9</v>
      </c>
      <c r="J34" s="31">
        <f>I34*Dashboard!$I$3</f>
        <v>15102</v>
      </c>
      <c r="K34" s="29">
        <f>I15*Dashboard!$I$4</f>
        <v>15750</v>
      </c>
      <c r="L34" s="48"/>
      <c r="M34" s="7">
        <f t="shared" si="9"/>
        <v>12</v>
      </c>
      <c r="N34" s="31">
        <f>M34*Dashboard!$I$3</f>
        <v>20136</v>
      </c>
      <c r="O34" s="18">
        <f>M13*Dashboard!$I$4</f>
        <v>21000</v>
      </c>
      <c r="P34" s="48"/>
      <c r="Q34" s="32">
        <f t="shared" si="10"/>
        <v>30</v>
      </c>
      <c r="R34" s="31">
        <f t="shared" si="0"/>
        <v>50340</v>
      </c>
      <c r="S34" s="31">
        <f t="shared" si="1"/>
        <v>52500</v>
      </c>
      <c r="T34" s="31">
        <f t="shared" si="13"/>
        <v>2160</v>
      </c>
      <c r="U34" s="31">
        <f>U33-R34+S34+V34-Custos!D34+Z33+AF33+AL33-AB33-AH33-AM33</f>
        <v>5624.4792864650462</v>
      </c>
      <c r="V34" s="31">
        <f>U33*(((1+Dashboard!$C$17)^(1/30))-1)</f>
        <v>1.8681872303859144</v>
      </c>
      <c r="W34" s="29">
        <f t="shared" si="2"/>
        <v>55964.479286465044</v>
      </c>
      <c r="X34" s="45">
        <f>-R34+S34-Custos!D34</f>
        <v>656.59999999999991</v>
      </c>
      <c r="Z34" s="83">
        <v>0</v>
      </c>
      <c r="AA34" s="33">
        <f>AC33*(((1+Dashboard!$C$20)^(1/30))-1)</f>
        <v>278.55321189129563</v>
      </c>
      <c r="AB34" s="84">
        <v>0</v>
      </c>
      <c r="AC34" s="18">
        <f t="shared" si="11"/>
        <v>608026.44538003555</v>
      </c>
      <c r="AD34" s="47">
        <f t="shared" si="3"/>
        <v>0</v>
      </c>
      <c r="AF34" s="83">
        <v>0</v>
      </c>
      <c r="AG34" s="33">
        <f>AI33*(((1+Dashboard!$C$21)^(1/30))-1)</f>
        <v>51.916785270079416</v>
      </c>
      <c r="AH34" s="84">
        <v>0</v>
      </c>
      <c r="AI34" s="29">
        <f t="shared" si="12"/>
        <v>101494.85428804728</v>
      </c>
      <c r="AJ34" s="45">
        <f t="shared" si="4"/>
        <v>0</v>
      </c>
      <c r="AL34" s="83">
        <v>0</v>
      </c>
      <c r="AM34" s="22">
        <v>0</v>
      </c>
      <c r="AN34" s="45">
        <f t="shared" si="5"/>
        <v>0</v>
      </c>
    </row>
    <row r="35" spans="2:40" x14ac:dyDescent="0.25">
      <c r="B35" s="53">
        <f>B34*(((1+Dashboard!$C$20)^(1/30)))</f>
        <v>1013841.8771051816</v>
      </c>
      <c r="C35" s="1">
        <v>31</v>
      </c>
      <c r="D35" s="51">
        <f t="shared" si="6"/>
        <v>46204</v>
      </c>
      <c r="E35" s="7">
        <f t="shared" si="7"/>
        <v>9</v>
      </c>
      <c r="F35" s="31">
        <f>E35*Dashboard!$I$3</f>
        <v>15102</v>
      </c>
      <c r="G35" s="18">
        <f>E18*Dashboard!$I$4</f>
        <v>15750</v>
      </c>
      <c r="H35" s="48"/>
      <c r="I35" s="7">
        <f t="shared" si="8"/>
        <v>9</v>
      </c>
      <c r="J35" s="31">
        <f>I35*Dashboard!$I$3</f>
        <v>15102</v>
      </c>
      <c r="K35" s="29">
        <f>I16*Dashboard!$I$4</f>
        <v>15750</v>
      </c>
      <c r="L35" s="48"/>
      <c r="M35" s="7">
        <f t="shared" si="9"/>
        <v>12</v>
      </c>
      <c r="N35" s="31">
        <f>M35*Dashboard!$I$3</f>
        <v>20136</v>
      </c>
      <c r="O35" s="18">
        <f>M14*Dashboard!$I$4</f>
        <v>21000</v>
      </c>
      <c r="P35" s="48"/>
      <c r="Q35" s="32">
        <f t="shared" si="10"/>
        <v>30</v>
      </c>
      <c r="R35" s="31">
        <f t="shared" si="0"/>
        <v>50340</v>
      </c>
      <c r="S35" s="31">
        <f t="shared" si="1"/>
        <v>52500</v>
      </c>
      <c r="T35" s="31">
        <f t="shared" si="13"/>
        <v>2160</v>
      </c>
      <c r="U35" s="31">
        <f>U34-R35+S35+V35-Custos!D35+Z34+AF34+AL34-AB34-AH34-AM34</f>
        <v>6283.1951859607507</v>
      </c>
      <c r="V35" s="31">
        <f>U34*(((1+Dashboard!$C$17)^(1/30))-1)</f>
        <v>2.1158994957066168</v>
      </c>
      <c r="W35" s="29">
        <f t="shared" si="2"/>
        <v>56623.195185960751</v>
      </c>
      <c r="X35" s="45">
        <f>-R35+S35-Custos!D35</f>
        <v>656.59999999999991</v>
      </c>
      <c r="Z35" s="83">
        <v>0</v>
      </c>
      <c r="AA35" s="33">
        <f>AC34*(((1+Dashboard!$C$20)^(1/30))-1)</f>
        <v>278.68088307346653</v>
      </c>
      <c r="AB35" s="84">
        <v>0</v>
      </c>
      <c r="AC35" s="18">
        <f t="shared" si="11"/>
        <v>608305.12626310904</v>
      </c>
      <c r="AD35" s="47">
        <f t="shared" si="3"/>
        <v>0</v>
      </c>
      <c r="AF35" s="83">
        <v>0</v>
      </c>
      <c r="AG35" s="33">
        <f>AI34*(((1+Dashboard!$C$21)^(1/30))-1)</f>
        <v>51.943355405557853</v>
      </c>
      <c r="AH35" s="84">
        <v>0</v>
      </c>
      <c r="AI35" s="29">
        <f t="shared" si="12"/>
        <v>101546.79764345284</v>
      </c>
      <c r="AJ35" s="45">
        <f t="shared" si="4"/>
        <v>0</v>
      </c>
      <c r="AL35" s="83">
        <v>0</v>
      </c>
      <c r="AM35" s="22">
        <v>0</v>
      </c>
      <c r="AN35" s="45">
        <f t="shared" si="5"/>
        <v>0</v>
      </c>
    </row>
    <row r="36" spans="2:40" x14ac:dyDescent="0.25">
      <c r="B36" s="53">
        <f>B35*(((1+Dashboard!$C$20)^(1/30)))</f>
        <v>1014306.5581264683</v>
      </c>
      <c r="C36" s="1">
        <v>32</v>
      </c>
      <c r="D36" s="51">
        <f t="shared" si="6"/>
        <v>46205</v>
      </c>
      <c r="E36" s="7">
        <f t="shared" si="7"/>
        <v>9</v>
      </c>
      <c r="F36" s="31">
        <f>E36*Dashboard!$I$3</f>
        <v>15102</v>
      </c>
      <c r="G36" s="18">
        <f>E19*Dashboard!$I$4</f>
        <v>15750</v>
      </c>
      <c r="H36" s="48"/>
      <c r="I36" s="7">
        <f t="shared" si="8"/>
        <v>9</v>
      </c>
      <c r="J36" s="31">
        <f>I36*Dashboard!$I$3</f>
        <v>15102</v>
      </c>
      <c r="K36" s="29">
        <f>I17*Dashboard!$I$4</f>
        <v>15750</v>
      </c>
      <c r="L36" s="48"/>
      <c r="M36" s="7">
        <f t="shared" si="9"/>
        <v>12</v>
      </c>
      <c r="N36" s="31">
        <f>M36*Dashboard!$I$3</f>
        <v>20136</v>
      </c>
      <c r="O36" s="18">
        <f>M15*Dashboard!$I$4</f>
        <v>21000</v>
      </c>
      <c r="P36" s="48"/>
      <c r="Q36" s="32">
        <f t="shared" si="10"/>
        <v>30</v>
      </c>
      <c r="R36" s="31">
        <f t="shared" si="0"/>
        <v>50340</v>
      </c>
      <c r="S36" s="31">
        <f t="shared" si="1"/>
        <v>52500</v>
      </c>
      <c r="T36" s="31">
        <f t="shared" si="13"/>
        <v>2160</v>
      </c>
      <c r="U36" s="31">
        <f>U35-R36+S36+V36-Custos!D36+Z35+AF35+AL35-AB35-AH35-AM35</f>
        <v>6942.1588909098282</v>
      </c>
      <c r="V36" s="31">
        <f>U35*(((1+Dashboard!$C$17)^(1/30))-1)</f>
        <v>2.3637049490773721</v>
      </c>
      <c r="W36" s="29">
        <f t="shared" si="2"/>
        <v>57282.158890909828</v>
      </c>
      <c r="X36" s="45">
        <f>-R36+S36-Custos!D36</f>
        <v>656.59999999999991</v>
      </c>
      <c r="Z36" s="83">
        <v>0</v>
      </c>
      <c r="AA36" s="33">
        <f>AC35*(((1+Dashboard!$C$20)^(1/30))-1)</f>
        <v>278.80861277203593</v>
      </c>
      <c r="AB36" s="84">
        <v>0</v>
      </c>
      <c r="AC36" s="18">
        <f t="shared" si="11"/>
        <v>608583.93487588107</v>
      </c>
      <c r="AD36" s="47">
        <f t="shared" si="3"/>
        <v>0</v>
      </c>
      <c r="AF36" s="83">
        <v>0</v>
      </c>
      <c r="AG36" s="33">
        <f>AI35*(((1+Dashboard!$C$21)^(1/30))-1)</f>
        <v>51.969939139183708</v>
      </c>
      <c r="AH36" s="84">
        <v>0</v>
      </c>
      <c r="AI36" s="29">
        <f t="shared" si="12"/>
        <v>101598.76758259202</v>
      </c>
      <c r="AJ36" s="45">
        <f t="shared" si="4"/>
        <v>0</v>
      </c>
      <c r="AL36" s="83">
        <v>0</v>
      </c>
      <c r="AM36" s="22">
        <v>0</v>
      </c>
      <c r="AN36" s="45">
        <f t="shared" si="5"/>
        <v>0</v>
      </c>
    </row>
    <row r="37" spans="2:40" x14ac:dyDescent="0.25">
      <c r="B37" s="53">
        <f>B36*(((1+Dashboard!$C$20)^(1/30)))</f>
        <v>1014771.4521281581</v>
      </c>
      <c r="C37" s="1">
        <v>33</v>
      </c>
      <c r="D37" s="51">
        <f t="shared" si="6"/>
        <v>46206</v>
      </c>
      <c r="E37" s="7">
        <f t="shared" si="7"/>
        <v>9</v>
      </c>
      <c r="F37" s="31">
        <f>E37*Dashboard!$I$3</f>
        <v>15102</v>
      </c>
      <c r="G37" s="18">
        <f>E20*Dashboard!$I$4</f>
        <v>15750</v>
      </c>
      <c r="H37" s="48"/>
      <c r="I37" s="7">
        <f t="shared" si="8"/>
        <v>9</v>
      </c>
      <c r="J37" s="31">
        <f>I37*Dashboard!$I$3</f>
        <v>15102</v>
      </c>
      <c r="K37" s="29">
        <f>I18*Dashboard!$I$4</f>
        <v>15750</v>
      </c>
      <c r="L37" s="48"/>
      <c r="M37" s="7">
        <f t="shared" si="9"/>
        <v>12</v>
      </c>
      <c r="N37" s="31">
        <f>M37*Dashboard!$I$3</f>
        <v>20136</v>
      </c>
      <c r="O37" s="18">
        <f>M16*Dashboard!$I$4</f>
        <v>21000</v>
      </c>
      <c r="P37" s="48"/>
      <c r="Q37" s="32">
        <f t="shared" si="10"/>
        <v>30</v>
      </c>
      <c r="R37" s="31">
        <f t="shared" si="0"/>
        <v>50340</v>
      </c>
      <c r="S37" s="31">
        <f t="shared" si="1"/>
        <v>52500</v>
      </c>
      <c r="T37" s="31">
        <f t="shared" si="13"/>
        <v>2160</v>
      </c>
      <c r="U37" s="31">
        <f>U36-R37+S37+V37-Custos!D37+Z36+AF36+AL36-AB36-AH36-AM36</f>
        <v>7601.3704945353838</v>
      </c>
      <c r="V37" s="31">
        <f>U36*(((1+Dashboard!$C$17)^(1/30))-1)</f>
        <v>2.6116036255550354</v>
      </c>
      <c r="W37" s="29">
        <f t="shared" si="2"/>
        <v>57941.370494535382</v>
      </c>
      <c r="X37" s="45">
        <f>-R37+S37-Custos!D37</f>
        <v>656.59999999999991</v>
      </c>
      <c r="Z37" s="83">
        <v>0</v>
      </c>
      <c r="AA37" s="33">
        <f>AC36*(((1+Dashboard!$C$20)^(1/30))-1)</f>
        <v>278.93640101382402</v>
      </c>
      <c r="AB37" s="84">
        <v>0</v>
      </c>
      <c r="AC37" s="18">
        <f t="shared" si="11"/>
        <v>608862.87127689493</v>
      </c>
      <c r="AD37" s="47">
        <f t="shared" si="3"/>
        <v>0</v>
      </c>
      <c r="AF37" s="83">
        <v>0</v>
      </c>
      <c r="AG37" s="33">
        <f>AI36*(((1+Dashboard!$C$21)^(1/30))-1)</f>
        <v>51.996536477916273</v>
      </c>
      <c r="AH37" s="84">
        <v>0</v>
      </c>
      <c r="AI37" s="29">
        <f t="shared" si="12"/>
        <v>101650.76411906994</v>
      </c>
      <c r="AJ37" s="45">
        <f t="shared" si="4"/>
        <v>0</v>
      </c>
      <c r="AL37" s="83">
        <v>0</v>
      </c>
      <c r="AM37" s="22">
        <v>0</v>
      </c>
      <c r="AN37" s="45">
        <f t="shared" si="5"/>
        <v>0</v>
      </c>
    </row>
    <row r="38" spans="2:40" x14ac:dyDescent="0.25">
      <c r="B38" s="53">
        <f>B37*(((1+Dashboard!$C$20)^(1/30)))</f>
        <v>1015236.5592078675</v>
      </c>
      <c r="C38" s="1">
        <v>34</v>
      </c>
      <c r="D38" s="51">
        <f t="shared" si="6"/>
        <v>46207</v>
      </c>
      <c r="E38" s="7">
        <f t="shared" si="7"/>
        <v>9</v>
      </c>
      <c r="F38" s="31">
        <f>E38*Dashboard!$I$3</f>
        <v>15102</v>
      </c>
      <c r="G38" s="18">
        <f>E21*Dashboard!$I$4</f>
        <v>15750</v>
      </c>
      <c r="H38" s="48"/>
      <c r="I38" s="7">
        <f t="shared" si="8"/>
        <v>9</v>
      </c>
      <c r="J38" s="31">
        <f>I38*Dashboard!$I$3</f>
        <v>15102</v>
      </c>
      <c r="K38" s="29">
        <f>I19*Dashboard!$I$4</f>
        <v>15750</v>
      </c>
      <c r="L38" s="48"/>
      <c r="M38" s="7">
        <f t="shared" si="9"/>
        <v>12</v>
      </c>
      <c r="N38" s="31">
        <f>M38*Dashboard!$I$3</f>
        <v>20136</v>
      </c>
      <c r="O38" s="18">
        <f>M17*Dashboard!$I$4</f>
        <v>21000</v>
      </c>
      <c r="P38" s="48"/>
      <c r="Q38" s="32">
        <f t="shared" si="10"/>
        <v>30</v>
      </c>
      <c r="R38" s="31">
        <f t="shared" si="0"/>
        <v>50340</v>
      </c>
      <c r="S38" s="31">
        <f t="shared" si="1"/>
        <v>52500</v>
      </c>
      <c r="T38" s="31">
        <f t="shared" si="13"/>
        <v>2160</v>
      </c>
      <c r="U38" s="31">
        <f>U37-R38+S38+V38-Custos!D38+Z37+AF37+AL37-AB37-AH37-AM37</f>
        <v>8260.8300900955928</v>
      </c>
      <c r="V38" s="31">
        <f>U37*(((1+Dashboard!$C$17)^(1/30))-1)</f>
        <v>2.8595955602096481</v>
      </c>
      <c r="W38" s="29">
        <f t="shared" si="2"/>
        <v>58600.830090095595</v>
      </c>
      <c r="X38" s="45">
        <f>-R38+S38-Custos!D38</f>
        <v>656.59999999999991</v>
      </c>
      <c r="Z38" s="83">
        <v>0</v>
      </c>
      <c r="AA38" s="33">
        <f>AC37*(((1+Dashboard!$C$20)^(1/30))-1)</f>
        <v>279.06424782566347</v>
      </c>
      <c r="AB38" s="84">
        <v>0</v>
      </c>
      <c r="AC38" s="18">
        <f t="shared" si="11"/>
        <v>609141.93552472058</v>
      </c>
      <c r="AD38" s="47">
        <f t="shared" si="3"/>
        <v>0</v>
      </c>
      <c r="AF38" s="83">
        <v>0</v>
      </c>
      <c r="AG38" s="33">
        <f>AI37*(((1+Dashboard!$C$21)^(1/30))-1)</f>
        <v>52.023147428718417</v>
      </c>
      <c r="AH38" s="84">
        <v>0</v>
      </c>
      <c r="AI38" s="29">
        <f t="shared" si="12"/>
        <v>101702.78726649865</v>
      </c>
      <c r="AJ38" s="45">
        <f t="shared" si="4"/>
        <v>0</v>
      </c>
      <c r="AL38" s="83">
        <v>0</v>
      </c>
      <c r="AM38" s="22">
        <v>0</v>
      </c>
      <c r="AN38" s="45">
        <f t="shared" si="5"/>
        <v>0</v>
      </c>
    </row>
    <row r="39" spans="2:40" x14ac:dyDescent="0.25">
      <c r="B39" s="53">
        <f>B38*(((1+Dashboard!$C$20)^(1/30)))</f>
        <v>1015701.8794632582</v>
      </c>
      <c r="C39" s="1">
        <v>35</v>
      </c>
      <c r="D39" s="51">
        <f t="shared" si="6"/>
        <v>46208</v>
      </c>
      <c r="E39" s="7">
        <f t="shared" si="7"/>
        <v>9</v>
      </c>
      <c r="F39" s="31">
        <f>E39*Dashboard!$I$3</f>
        <v>15102</v>
      </c>
      <c r="G39" s="18">
        <f>E22*Dashboard!$I$4</f>
        <v>15750</v>
      </c>
      <c r="H39" s="48"/>
      <c r="I39" s="7">
        <f t="shared" si="8"/>
        <v>9</v>
      </c>
      <c r="J39" s="31">
        <f>I39*Dashboard!$I$3</f>
        <v>15102</v>
      </c>
      <c r="K39" s="29">
        <f>I20*Dashboard!$I$4</f>
        <v>15750</v>
      </c>
      <c r="L39" s="48"/>
      <c r="M39" s="7">
        <f t="shared" si="9"/>
        <v>12</v>
      </c>
      <c r="N39" s="31">
        <f>M39*Dashboard!$I$3</f>
        <v>20136</v>
      </c>
      <c r="O39" s="18">
        <f>M18*Dashboard!$I$4</f>
        <v>21000</v>
      </c>
      <c r="P39" s="48"/>
      <c r="Q39" s="32">
        <f t="shared" si="10"/>
        <v>30</v>
      </c>
      <c r="R39" s="31">
        <f t="shared" si="0"/>
        <v>50340</v>
      </c>
      <c r="S39" s="31">
        <f t="shared" si="1"/>
        <v>52500</v>
      </c>
      <c r="T39" s="31">
        <f t="shared" si="13"/>
        <v>2160</v>
      </c>
      <c r="U39" s="31">
        <f>U38-R39+S39+V39-Custos!D39+Z38+AF38+AL38-AB38-AH38-AM38</f>
        <v>8920.5377708837186</v>
      </c>
      <c r="V39" s="31">
        <f>U38*(((1+Dashboard!$C$17)^(1/30))-1)</f>
        <v>3.107680788124445</v>
      </c>
      <c r="W39" s="29">
        <f t="shared" si="2"/>
        <v>59260.537770883719</v>
      </c>
      <c r="X39" s="45">
        <f>-R39+S39-Custos!D39</f>
        <v>656.59999999999991</v>
      </c>
      <c r="Z39" s="83">
        <v>0</v>
      </c>
      <c r="AA39" s="33">
        <f>AC38*(((1+Dashboard!$C$20)^(1/30))-1)</f>
        <v>279.19215323439886</v>
      </c>
      <c r="AB39" s="84">
        <v>0</v>
      </c>
      <c r="AC39" s="18">
        <f t="shared" si="11"/>
        <v>609421.12767795497</v>
      </c>
      <c r="AD39" s="47">
        <f t="shared" si="3"/>
        <v>0</v>
      </c>
      <c r="AF39" s="83">
        <v>0</v>
      </c>
      <c r="AG39" s="33">
        <f>AI38*(((1+Dashboard!$C$21)^(1/30))-1)</f>
        <v>52.049771998556572</v>
      </c>
      <c r="AH39" s="84">
        <v>0</v>
      </c>
      <c r="AI39" s="29">
        <f t="shared" si="12"/>
        <v>101754.83703849721</v>
      </c>
      <c r="AJ39" s="45">
        <f t="shared" si="4"/>
        <v>0</v>
      </c>
      <c r="AL39" s="83">
        <v>0</v>
      </c>
      <c r="AM39" s="22">
        <v>0</v>
      </c>
      <c r="AN39" s="45">
        <f t="shared" si="5"/>
        <v>0</v>
      </c>
    </row>
    <row r="40" spans="2:40" x14ac:dyDescent="0.25">
      <c r="B40" s="53">
        <f>B39*(((1+Dashboard!$C$20)^(1/30)))</f>
        <v>1016167.4129920363</v>
      </c>
      <c r="C40" s="1">
        <v>36</v>
      </c>
      <c r="D40" s="51">
        <f t="shared" si="6"/>
        <v>46209</v>
      </c>
      <c r="E40" s="7">
        <f t="shared" si="7"/>
        <v>9</v>
      </c>
      <c r="F40" s="31">
        <f>E40*Dashboard!$I$3</f>
        <v>15102</v>
      </c>
      <c r="G40" s="18">
        <f>E23*Dashboard!$I$4</f>
        <v>15750</v>
      </c>
      <c r="H40" s="48"/>
      <c r="I40" s="7">
        <f t="shared" si="8"/>
        <v>9</v>
      </c>
      <c r="J40" s="31">
        <f>I40*Dashboard!$I$3</f>
        <v>15102</v>
      </c>
      <c r="K40" s="29">
        <f>I21*Dashboard!$I$4</f>
        <v>15750</v>
      </c>
      <c r="L40" s="48"/>
      <c r="M40" s="7">
        <f t="shared" si="9"/>
        <v>12</v>
      </c>
      <c r="N40" s="31">
        <f>M40*Dashboard!$I$3</f>
        <v>20136</v>
      </c>
      <c r="O40" s="18">
        <f>M19*Dashboard!$I$4</f>
        <v>21000</v>
      </c>
      <c r="P40" s="48"/>
      <c r="Q40" s="32">
        <f t="shared" si="10"/>
        <v>30</v>
      </c>
      <c r="R40" s="31">
        <f t="shared" si="0"/>
        <v>50340</v>
      </c>
      <c r="S40" s="31">
        <f t="shared" si="1"/>
        <v>52500</v>
      </c>
      <c r="T40" s="31">
        <f t="shared" si="13"/>
        <v>2160</v>
      </c>
      <c r="U40" s="31">
        <f>U39-R40+S40+V40-Custos!D40+Z39+AF39+AL39-AB39-AH39-AM39</f>
        <v>9580.4936302281149</v>
      </c>
      <c r="V40" s="31">
        <f>U39*(((1+Dashboard!$C$17)^(1/30))-1)</f>
        <v>3.3558593443958609</v>
      </c>
      <c r="W40" s="29">
        <f t="shared" si="2"/>
        <v>59920.493630228113</v>
      </c>
      <c r="X40" s="45">
        <f>-R40+S40-Custos!D40</f>
        <v>656.59999999999991</v>
      </c>
      <c r="Z40" s="83">
        <v>0</v>
      </c>
      <c r="AA40" s="33">
        <f>AC39*(((1+Dashboard!$C$20)^(1/30))-1)</f>
        <v>279.32011726688745</v>
      </c>
      <c r="AB40" s="84">
        <v>0</v>
      </c>
      <c r="AC40" s="18">
        <f t="shared" si="11"/>
        <v>609700.44779522181</v>
      </c>
      <c r="AD40" s="47">
        <f t="shared" si="3"/>
        <v>0</v>
      </c>
      <c r="AF40" s="83">
        <v>0</v>
      </c>
      <c r="AG40" s="33">
        <f>AI39*(((1+Dashboard!$C$21)^(1/30))-1)</f>
        <v>52.076410194400736</v>
      </c>
      <c r="AH40" s="84">
        <v>0</v>
      </c>
      <c r="AI40" s="29">
        <f t="shared" si="12"/>
        <v>101806.91344869162</v>
      </c>
      <c r="AJ40" s="45">
        <f t="shared" si="4"/>
        <v>0</v>
      </c>
      <c r="AL40" s="83">
        <v>0</v>
      </c>
      <c r="AM40" s="22">
        <v>0</v>
      </c>
      <c r="AN40" s="45">
        <f t="shared" si="5"/>
        <v>0</v>
      </c>
    </row>
    <row r="41" spans="2:40" x14ac:dyDescent="0.25">
      <c r="B41" s="53">
        <f>B40*(((1+Dashboard!$C$20)^(1/30)))</f>
        <v>1016633.159891953</v>
      </c>
      <c r="C41" s="1">
        <v>37</v>
      </c>
      <c r="D41" s="51">
        <f t="shared" si="6"/>
        <v>46210</v>
      </c>
      <c r="E41" s="7">
        <f t="shared" si="7"/>
        <v>9</v>
      </c>
      <c r="F41" s="31">
        <f>E41*Dashboard!$I$3</f>
        <v>15102</v>
      </c>
      <c r="G41" s="18">
        <f>E24*Dashboard!$I$4</f>
        <v>15750</v>
      </c>
      <c r="H41" s="48"/>
      <c r="I41" s="7">
        <f t="shared" si="8"/>
        <v>9</v>
      </c>
      <c r="J41" s="31">
        <f>I41*Dashboard!$I$3</f>
        <v>15102</v>
      </c>
      <c r="K41" s="29">
        <f>I22*Dashboard!$I$4</f>
        <v>15750</v>
      </c>
      <c r="L41" s="48"/>
      <c r="M41" s="7">
        <f t="shared" si="9"/>
        <v>12</v>
      </c>
      <c r="N41" s="31">
        <f>M41*Dashboard!$I$3</f>
        <v>20136</v>
      </c>
      <c r="O41" s="18">
        <f>M20*Dashboard!$I$4</f>
        <v>21000</v>
      </c>
      <c r="P41" s="48"/>
      <c r="Q41" s="32">
        <f t="shared" si="10"/>
        <v>30</v>
      </c>
      <c r="R41" s="31">
        <f t="shared" si="0"/>
        <v>50340</v>
      </c>
      <c r="S41" s="31">
        <f t="shared" si="1"/>
        <v>52500</v>
      </c>
      <c r="T41" s="31">
        <f t="shared" si="13"/>
        <v>2160</v>
      </c>
      <c r="U41" s="31">
        <f>U40-R41+S41+V41-Custos!D41+Z40+AF40+AL40-AB40-AH40-AM40</f>
        <v>10240.697761492247</v>
      </c>
      <c r="V41" s="31">
        <f>U40*(((1+Dashboard!$C$17)^(1/30))-1)</f>
        <v>3.6041312641335304</v>
      </c>
      <c r="W41" s="29">
        <f t="shared" si="2"/>
        <v>60580.697761492251</v>
      </c>
      <c r="X41" s="45">
        <f>-R41+S41-Custos!D41</f>
        <v>656.59999999999991</v>
      </c>
      <c r="Z41" s="83">
        <v>0</v>
      </c>
      <c r="AA41" s="33">
        <f>AC40*(((1+Dashboard!$C$20)^(1/30))-1)</f>
        <v>279.44813994999868</v>
      </c>
      <c r="AB41" s="84">
        <v>0</v>
      </c>
      <c r="AC41" s="18">
        <f t="shared" si="11"/>
        <v>609979.89593517187</v>
      </c>
      <c r="AD41" s="47">
        <f t="shared" si="3"/>
        <v>0</v>
      </c>
      <c r="AF41" s="83">
        <v>0</v>
      </c>
      <c r="AG41" s="33">
        <f>AI40*(((1+Dashboard!$C$21)^(1/30))-1)</f>
        <v>52.103062023224453</v>
      </c>
      <c r="AH41" s="84">
        <v>0</v>
      </c>
      <c r="AI41" s="29">
        <f t="shared" si="12"/>
        <v>101859.01651071484</v>
      </c>
      <c r="AJ41" s="45">
        <f t="shared" si="4"/>
        <v>0</v>
      </c>
      <c r="AL41" s="83">
        <v>0</v>
      </c>
      <c r="AM41" s="22">
        <v>0</v>
      </c>
      <c r="AN41" s="45">
        <f t="shared" si="5"/>
        <v>0</v>
      </c>
    </row>
    <row r="42" spans="2:40" x14ac:dyDescent="0.25">
      <c r="B42" s="53">
        <f>B41*(((1+Dashboard!$C$20)^(1/30)))</f>
        <v>1017099.120260804</v>
      </c>
      <c r="C42" s="1">
        <v>38</v>
      </c>
      <c r="D42" s="51">
        <f t="shared" si="6"/>
        <v>46211</v>
      </c>
      <c r="E42" s="7">
        <f t="shared" si="7"/>
        <v>9</v>
      </c>
      <c r="F42" s="31">
        <f>E42*Dashboard!$I$3</f>
        <v>15102</v>
      </c>
      <c r="G42" s="18">
        <f>E25*Dashboard!$I$4</f>
        <v>15750</v>
      </c>
      <c r="H42" s="48"/>
      <c r="I42" s="7">
        <f t="shared" si="8"/>
        <v>9</v>
      </c>
      <c r="J42" s="31">
        <f>I42*Dashboard!$I$3</f>
        <v>15102</v>
      </c>
      <c r="K42" s="29">
        <f>I23*Dashboard!$I$4</f>
        <v>15750</v>
      </c>
      <c r="L42" s="48"/>
      <c r="M42" s="7">
        <f t="shared" si="9"/>
        <v>12</v>
      </c>
      <c r="N42" s="31">
        <f>M42*Dashboard!$I$3</f>
        <v>20136</v>
      </c>
      <c r="O42" s="18">
        <f>M21*Dashboard!$I$4</f>
        <v>21000</v>
      </c>
      <c r="P42" s="48"/>
      <c r="Q42" s="32">
        <f t="shared" si="10"/>
        <v>30</v>
      </c>
      <c r="R42" s="31">
        <f t="shared" si="0"/>
        <v>50340</v>
      </c>
      <c r="S42" s="31">
        <f t="shared" si="1"/>
        <v>52500</v>
      </c>
      <c r="T42" s="31">
        <f t="shared" si="13"/>
        <v>2160</v>
      </c>
      <c r="U42" s="31">
        <f>U41-R42+S42+V42-Custos!D42+Z41+AF41+AL41-AB41-AH41-AM41</f>
        <v>10901.150258074711</v>
      </c>
      <c r="V42" s="31">
        <f>U41*(((1+Dashboard!$C$17)^(1/30))-1)</f>
        <v>3.8524965824602981</v>
      </c>
      <c r="W42" s="29">
        <f t="shared" si="2"/>
        <v>61241.150258074711</v>
      </c>
      <c r="X42" s="45">
        <f>-R42+S42-Custos!D42</f>
        <v>656.59999999999991</v>
      </c>
      <c r="Z42" s="83">
        <v>0</v>
      </c>
      <c r="AA42" s="33">
        <f>AC41*(((1+Dashboard!$C$20)^(1/30))-1)</f>
        <v>279.57622131061424</v>
      </c>
      <c r="AB42" s="84">
        <v>0</v>
      </c>
      <c r="AC42" s="18">
        <f t="shared" si="11"/>
        <v>610259.47215648252</v>
      </c>
      <c r="AD42" s="47">
        <f t="shared" si="3"/>
        <v>0</v>
      </c>
      <c r="AF42" s="83">
        <v>0</v>
      </c>
      <c r="AG42" s="33">
        <f>AI41*(((1+Dashboard!$C$21)^(1/30))-1)</f>
        <v>52.129727492004861</v>
      </c>
      <c r="AH42" s="84">
        <v>0</v>
      </c>
      <c r="AI42" s="29">
        <f t="shared" si="12"/>
        <v>101911.14623820684</v>
      </c>
      <c r="AJ42" s="45">
        <f t="shared" si="4"/>
        <v>0</v>
      </c>
      <c r="AL42" s="83">
        <v>0</v>
      </c>
      <c r="AM42" s="22">
        <v>0</v>
      </c>
      <c r="AN42" s="45">
        <f t="shared" si="5"/>
        <v>0</v>
      </c>
    </row>
    <row r="43" spans="2:40" x14ac:dyDescent="0.25">
      <c r="B43" s="53">
        <f>B42*(((1+Dashboard!$C$20)^(1/30)))</f>
        <v>1017565.29419643</v>
      </c>
      <c r="C43" s="1">
        <v>39</v>
      </c>
      <c r="D43" s="51">
        <f t="shared" si="6"/>
        <v>46212</v>
      </c>
      <c r="E43" s="7">
        <f t="shared" si="7"/>
        <v>9</v>
      </c>
      <c r="F43" s="31">
        <f>E43*Dashboard!$I$3</f>
        <v>15102</v>
      </c>
      <c r="G43" s="18">
        <f>E26*Dashboard!$I$4</f>
        <v>15750</v>
      </c>
      <c r="H43" s="48"/>
      <c r="I43" s="7">
        <f t="shared" si="8"/>
        <v>9</v>
      </c>
      <c r="J43" s="31">
        <f>I43*Dashboard!$I$3</f>
        <v>15102</v>
      </c>
      <c r="K43" s="29">
        <f>I24*Dashboard!$I$4</f>
        <v>15750</v>
      </c>
      <c r="L43" s="48"/>
      <c r="M43" s="7">
        <f t="shared" si="9"/>
        <v>12</v>
      </c>
      <c r="N43" s="31">
        <f>M43*Dashboard!$I$3</f>
        <v>20136</v>
      </c>
      <c r="O43" s="18">
        <f>M22*Dashboard!$I$4</f>
        <v>21000</v>
      </c>
      <c r="P43" s="48"/>
      <c r="Q43" s="32">
        <f t="shared" si="10"/>
        <v>30</v>
      </c>
      <c r="R43" s="31">
        <f t="shared" si="0"/>
        <v>50340</v>
      </c>
      <c r="S43" s="31">
        <f t="shared" si="1"/>
        <v>52500</v>
      </c>
      <c r="T43" s="31">
        <f t="shared" si="13"/>
        <v>2160</v>
      </c>
      <c r="U43" s="31">
        <f>U42-R43+S43+V43-Custos!D43+Z42+AF42+AL42-AB42-AH42-AM42</f>
        <v>11561.851213409223</v>
      </c>
      <c r="V43" s="31">
        <f>U42*(((1+Dashboard!$C$17)^(1/30))-1)</f>
        <v>4.100955334512224</v>
      </c>
      <c r="W43" s="29">
        <f t="shared" si="2"/>
        <v>61901.851213409223</v>
      </c>
      <c r="X43" s="45">
        <f>-R43+S43-Custos!D43</f>
        <v>656.59999999999991</v>
      </c>
      <c r="Z43" s="83">
        <v>0</v>
      </c>
      <c r="AA43" s="33">
        <f>AC42*(((1+Dashboard!$C$20)^(1/30))-1)</f>
        <v>279.7043613756282</v>
      </c>
      <c r="AB43" s="84">
        <v>0</v>
      </c>
      <c r="AC43" s="18">
        <f t="shared" si="11"/>
        <v>610539.17651785817</v>
      </c>
      <c r="AD43" s="47">
        <f t="shared" si="3"/>
        <v>0</v>
      </c>
      <c r="AF43" s="83">
        <v>0</v>
      </c>
      <c r="AG43" s="33">
        <f>AI42*(((1+Dashboard!$C$21)^(1/30))-1)</f>
        <v>52.156406607722666</v>
      </c>
      <c r="AH43" s="84">
        <v>0</v>
      </c>
      <c r="AI43" s="29">
        <f t="shared" si="12"/>
        <v>101963.30264481457</v>
      </c>
      <c r="AJ43" s="45">
        <f t="shared" si="4"/>
        <v>0</v>
      </c>
      <c r="AL43" s="83">
        <v>0</v>
      </c>
      <c r="AM43" s="22">
        <v>0</v>
      </c>
      <c r="AN43" s="45">
        <f t="shared" si="5"/>
        <v>0</v>
      </c>
    </row>
    <row r="44" spans="2:40" x14ac:dyDescent="0.25">
      <c r="B44" s="53">
        <f>B43*(((1+Dashboard!$C$20)^(1/30)))</f>
        <v>1018031.6817967166</v>
      </c>
      <c r="C44" s="1">
        <v>40</v>
      </c>
      <c r="D44" s="51">
        <f t="shared" si="6"/>
        <v>46213</v>
      </c>
      <c r="E44" s="7">
        <f t="shared" si="7"/>
        <v>9</v>
      </c>
      <c r="F44" s="31">
        <f>E44*Dashboard!$I$3</f>
        <v>15102</v>
      </c>
      <c r="G44" s="18">
        <f>E27*Dashboard!$I$4</f>
        <v>15750</v>
      </c>
      <c r="H44" s="48"/>
      <c r="I44" s="7">
        <f t="shared" si="8"/>
        <v>9</v>
      </c>
      <c r="J44" s="31">
        <f>I44*Dashboard!$I$3</f>
        <v>15102</v>
      </c>
      <c r="K44" s="29">
        <f>I25*Dashboard!$I$4</f>
        <v>15750</v>
      </c>
      <c r="L44" s="48"/>
      <c r="M44" s="7">
        <f t="shared" si="9"/>
        <v>12</v>
      </c>
      <c r="N44" s="31">
        <f>M44*Dashboard!$I$3</f>
        <v>20136</v>
      </c>
      <c r="O44" s="18">
        <f>M23*Dashboard!$I$4</f>
        <v>21000</v>
      </c>
      <c r="P44" s="48"/>
      <c r="Q44" s="32">
        <f t="shared" si="10"/>
        <v>30</v>
      </c>
      <c r="R44" s="31">
        <f t="shared" si="0"/>
        <v>50340</v>
      </c>
      <c r="S44" s="31">
        <f t="shared" si="1"/>
        <v>52500</v>
      </c>
      <c r="T44" s="31">
        <f t="shared" si="13"/>
        <v>2160</v>
      </c>
      <c r="U44" s="31">
        <f>U43-R44+S44+V44-Custos!D44+Z43+AF43+AL43-AB43-AH43-AM43</f>
        <v>12222.800720964662</v>
      </c>
      <c r="V44" s="31">
        <f>U43*(((1+Dashboard!$C$17)^(1/30))-1)</f>
        <v>4.3495075554385805</v>
      </c>
      <c r="W44" s="29">
        <f t="shared" si="2"/>
        <v>62562.80072096466</v>
      </c>
      <c r="X44" s="45">
        <f>-R44+S44-Custos!D44</f>
        <v>656.59999999999991</v>
      </c>
      <c r="Z44" s="83">
        <v>0</v>
      </c>
      <c r="AA44" s="33">
        <f>AC43*(((1+Dashboard!$C$20)^(1/30))-1)</f>
        <v>279.83256017194691</v>
      </c>
      <c r="AB44" s="84">
        <v>0</v>
      </c>
      <c r="AC44" s="18">
        <f t="shared" si="11"/>
        <v>610819.00907803013</v>
      </c>
      <c r="AD44" s="47">
        <f t="shared" si="3"/>
        <v>0</v>
      </c>
      <c r="AF44" s="83">
        <v>0</v>
      </c>
      <c r="AG44" s="33">
        <f>AI43*(((1+Dashboard!$C$21)^(1/30))-1)</f>
        <v>52.183099377362133</v>
      </c>
      <c r="AH44" s="84">
        <v>0</v>
      </c>
      <c r="AI44" s="29">
        <f t="shared" si="12"/>
        <v>102015.48574419193</v>
      </c>
      <c r="AJ44" s="45">
        <f t="shared" si="4"/>
        <v>0</v>
      </c>
      <c r="AL44" s="83">
        <v>0</v>
      </c>
      <c r="AM44" s="22">
        <v>0</v>
      </c>
      <c r="AN44" s="45">
        <f t="shared" si="5"/>
        <v>0</v>
      </c>
    </row>
    <row r="45" spans="2:40" x14ac:dyDescent="0.25">
      <c r="B45" s="53">
        <f>B44*(((1+Dashboard!$C$20)^(1/30)))</f>
        <v>1018498.2831595942</v>
      </c>
      <c r="C45" s="1">
        <v>41</v>
      </c>
      <c r="D45" s="51">
        <f t="shared" si="6"/>
        <v>46214</v>
      </c>
      <c r="E45" s="7">
        <f t="shared" si="7"/>
        <v>9</v>
      </c>
      <c r="F45" s="31">
        <f>E45*Dashboard!$I$3</f>
        <v>15102</v>
      </c>
      <c r="G45" s="18">
        <f>E28*Dashboard!$I$4</f>
        <v>15750</v>
      </c>
      <c r="H45" s="48"/>
      <c r="I45" s="7">
        <f t="shared" si="8"/>
        <v>9</v>
      </c>
      <c r="J45" s="31">
        <f>I45*Dashboard!$I$3</f>
        <v>15102</v>
      </c>
      <c r="K45" s="29">
        <f>I26*Dashboard!$I$4</f>
        <v>15750</v>
      </c>
      <c r="L45" s="48"/>
      <c r="M45" s="7">
        <f t="shared" si="9"/>
        <v>12</v>
      </c>
      <c r="N45" s="31">
        <f>M45*Dashboard!$I$3</f>
        <v>20136</v>
      </c>
      <c r="O45" s="18">
        <f>M24*Dashboard!$I$4</f>
        <v>21000</v>
      </c>
      <c r="P45" s="48"/>
      <c r="Q45" s="32">
        <f t="shared" si="10"/>
        <v>30</v>
      </c>
      <c r="R45" s="31">
        <f t="shared" si="0"/>
        <v>50340</v>
      </c>
      <c r="S45" s="31">
        <f t="shared" si="1"/>
        <v>52500</v>
      </c>
      <c r="T45" s="31">
        <f t="shared" si="13"/>
        <v>2160</v>
      </c>
      <c r="U45" s="31">
        <f>U44-R45+S45+V45-Custos!D45+Z44+AF44+AL44-AB44-AH44-AM44</f>
        <v>12883.998874245062</v>
      </c>
      <c r="V45" s="31">
        <f>U44*(((1+Dashboard!$C$17)^(1/30))-1)</f>
        <v>4.598153280401867</v>
      </c>
      <c r="W45" s="29">
        <f t="shared" si="2"/>
        <v>63223.998874245066</v>
      </c>
      <c r="X45" s="45">
        <f>-R45+S45-Custos!D45</f>
        <v>656.59999999999991</v>
      </c>
      <c r="Z45" s="83">
        <v>0</v>
      </c>
      <c r="AA45" s="33">
        <f>AC44*(((1+Dashboard!$C$20)^(1/30))-1)</f>
        <v>279.9608177264891</v>
      </c>
      <c r="AB45" s="84">
        <v>0</v>
      </c>
      <c r="AC45" s="18">
        <f t="shared" si="11"/>
        <v>611098.96989575657</v>
      </c>
      <c r="AD45" s="47">
        <f t="shared" si="3"/>
        <v>0</v>
      </c>
      <c r="AF45" s="83">
        <v>0</v>
      </c>
      <c r="AG45" s="33">
        <f>AI44*(((1+Dashboard!$C$21)^(1/30))-1)</f>
        <v>52.209805807911103</v>
      </c>
      <c r="AH45" s="84">
        <v>0</v>
      </c>
      <c r="AI45" s="29">
        <f t="shared" si="12"/>
        <v>102067.69554999984</v>
      </c>
      <c r="AJ45" s="45">
        <f t="shared" si="4"/>
        <v>0</v>
      </c>
      <c r="AL45" s="83">
        <v>0</v>
      </c>
      <c r="AM45" s="22">
        <v>0</v>
      </c>
      <c r="AN45" s="45">
        <f t="shared" si="5"/>
        <v>0</v>
      </c>
    </row>
    <row r="46" spans="2:40" x14ac:dyDescent="0.25">
      <c r="B46" s="53">
        <f>B45*(((1+Dashboard!$C$20)^(1/30)))</f>
        <v>1018965.0983830378</v>
      </c>
      <c r="C46" s="1">
        <v>42</v>
      </c>
      <c r="D46" s="51">
        <f t="shared" si="6"/>
        <v>46215</v>
      </c>
      <c r="E46" s="7">
        <f t="shared" si="7"/>
        <v>9</v>
      </c>
      <c r="F46" s="31">
        <f>E46*Dashboard!$I$3</f>
        <v>15102</v>
      </c>
      <c r="G46" s="18">
        <f>E29*Dashboard!$I$4</f>
        <v>15750</v>
      </c>
      <c r="H46" s="48"/>
      <c r="I46" s="7">
        <f t="shared" si="8"/>
        <v>9</v>
      </c>
      <c r="J46" s="31">
        <f>I46*Dashboard!$I$3</f>
        <v>15102</v>
      </c>
      <c r="K46" s="29">
        <f>I27*Dashboard!$I$4</f>
        <v>15750</v>
      </c>
      <c r="L46" s="48"/>
      <c r="M46" s="7">
        <f t="shared" si="9"/>
        <v>12</v>
      </c>
      <c r="N46" s="31">
        <f>M46*Dashboard!$I$3</f>
        <v>20136</v>
      </c>
      <c r="O46" s="18">
        <f>M25*Dashboard!$I$4</f>
        <v>21000</v>
      </c>
      <c r="P46" s="48"/>
      <c r="Q46" s="32">
        <f t="shared" si="10"/>
        <v>30</v>
      </c>
      <c r="R46" s="31">
        <f t="shared" si="0"/>
        <v>50340</v>
      </c>
      <c r="S46" s="31">
        <f t="shared" si="1"/>
        <v>52500</v>
      </c>
      <c r="T46" s="31">
        <f t="shared" si="13"/>
        <v>2160</v>
      </c>
      <c r="U46" s="31">
        <f>U45-R46+S46+V46-Custos!D46+Z45+AF45+AL45-AB45-AH45-AM45</f>
        <v>13545.445766789644</v>
      </c>
      <c r="V46" s="31">
        <f>U45*(((1+Dashboard!$C$17)^(1/30))-1)</f>
        <v>4.846892544577809</v>
      </c>
      <c r="W46" s="29">
        <f t="shared" si="2"/>
        <v>63885.445766789642</v>
      </c>
      <c r="X46" s="45">
        <f>-R46+S46-Custos!D46</f>
        <v>656.59999999999991</v>
      </c>
      <c r="Z46" s="83">
        <v>0</v>
      </c>
      <c r="AA46" s="33">
        <f>AC45*(((1+Dashboard!$C$20)^(1/30))-1)</f>
        <v>280.08913406618581</v>
      </c>
      <c r="AB46" s="84">
        <v>0</v>
      </c>
      <c r="AC46" s="18">
        <f t="shared" si="11"/>
        <v>611379.0590298227</v>
      </c>
      <c r="AD46" s="47">
        <f t="shared" si="3"/>
        <v>0</v>
      </c>
      <c r="AF46" s="83">
        <v>0</v>
      </c>
      <c r="AG46" s="33">
        <f>AI45*(((1+Dashboard!$C$21)^(1/30))-1)</f>
        <v>52.23652590636101</v>
      </c>
      <c r="AH46" s="84">
        <v>0</v>
      </c>
      <c r="AI46" s="29">
        <f t="shared" si="12"/>
        <v>102119.93207590621</v>
      </c>
      <c r="AJ46" s="45">
        <f t="shared" si="4"/>
        <v>0</v>
      </c>
      <c r="AL46" s="83">
        <v>0</v>
      </c>
      <c r="AM46" s="22">
        <v>0</v>
      </c>
      <c r="AN46" s="45">
        <f t="shared" si="5"/>
        <v>0</v>
      </c>
    </row>
    <row r="47" spans="2:40" x14ac:dyDescent="0.25">
      <c r="B47" s="53">
        <f>B46*(((1+Dashboard!$C$20)^(1/30)))</f>
        <v>1019432.1275650678</v>
      </c>
      <c r="C47" s="1">
        <v>43</v>
      </c>
      <c r="D47" s="51">
        <f t="shared" si="6"/>
        <v>46216</v>
      </c>
      <c r="E47" s="7">
        <f t="shared" si="7"/>
        <v>9</v>
      </c>
      <c r="F47" s="31">
        <f>E47*Dashboard!$I$3</f>
        <v>15102</v>
      </c>
      <c r="G47" s="18">
        <f>E30*Dashboard!$I$4</f>
        <v>15750</v>
      </c>
      <c r="H47" s="48"/>
      <c r="I47" s="7">
        <f t="shared" si="8"/>
        <v>9</v>
      </c>
      <c r="J47" s="31">
        <f>I47*Dashboard!$I$3</f>
        <v>15102</v>
      </c>
      <c r="K47" s="29">
        <f>I28*Dashboard!$I$4</f>
        <v>15750</v>
      </c>
      <c r="L47" s="48"/>
      <c r="M47" s="7">
        <f t="shared" si="9"/>
        <v>12</v>
      </c>
      <c r="N47" s="31">
        <f>M47*Dashboard!$I$3</f>
        <v>20136</v>
      </c>
      <c r="O47" s="18">
        <f>M26*Dashboard!$I$4</f>
        <v>21000</v>
      </c>
      <c r="P47" s="48"/>
      <c r="Q47" s="32">
        <f t="shared" si="10"/>
        <v>30</v>
      </c>
      <c r="R47" s="31">
        <f t="shared" si="0"/>
        <v>50340</v>
      </c>
      <c r="S47" s="31">
        <f t="shared" si="1"/>
        <v>52500</v>
      </c>
      <c r="T47" s="31">
        <f t="shared" si="13"/>
        <v>2160</v>
      </c>
      <c r="U47" s="31">
        <f>U46-R47+S47+V47-Custos!D47+Z46+AF46+AL46-AB46-AH46-AM46</f>
        <v>14207.141492172797</v>
      </c>
      <c r="V47" s="31">
        <f>U46*(((1+Dashboard!$C$17)^(1/30))-1)</f>
        <v>5.0957253831553695</v>
      </c>
      <c r="W47" s="29">
        <f t="shared" si="2"/>
        <v>64547.141492172799</v>
      </c>
      <c r="X47" s="45">
        <f>-R47+S47-Custos!D47</f>
        <v>656.59999999999991</v>
      </c>
      <c r="Z47" s="83">
        <v>0</v>
      </c>
      <c r="AA47" s="33">
        <f>AC46*(((1+Dashboard!$C$20)^(1/30))-1)</f>
        <v>280.21750921798048</v>
      </c>
      <c r="AB47" s="84">
        <v>0</v>
      </c>
      <c r="AC47" s="18">
        <f t="shared" si="11"/>
        <v>611659.27653904073</v>
      </c>
      <c r="AD47" s="47">
        <f t="shared" si="3"/>
        <v>0</v>
      </c>
      <c r="AF47" s="83">
        <v>0</v>
      </c>
      <c r="AG47" s="33">
        <f>AI46*(((1+Dashboard!$C$21)^(1/30))-1)</f>
        <v>52.263259679706856</v>
      </c>
      <c r="AH47" s="84">
        <v>0</v>
      </c>
      <c r="AI47" s="29">
        <f t="shared" si="12"/>
        <v>102172.19533558592</v>
      </c>
      <c r="AJ47" s="45">
        <f t="shared" si="4"/>
        <v>0</v>
      </c>
      <c r="AL47" s="83">
        <v>0</v>
      </c>
      <c r="AM47" s="22">
        <v>0</v>
      </c>
      <c r="AN47" s="45">
        <f t="shared" si="5"/>
        <v>0</v>
      </c>
    </row>
    <row r="48" spans="2:40" x14ac:dyDescent="0.25">
      <c r="B48" s="53">
        <f>B47*(((1+Dashboard!$C$20)^(1/30)))</f>
        <v>1019899.3708037492</v>
      </c>
      <c r="C48" s="1">
        <v>44</v>
      </c>
      <c r="D48" s="51">
        <f t="shared" si="6"/>
        <v>46217</v>
      </c>
      <c r="E48" s="7">
        <f t="shared" si="7"/>
        <v>9</v>
      </c>
      <c r="F48" s="31">
        <f>E48*Dashboard!$I$3</f>
        <v>15102</v>
      </c>
      <c r="G48" s="18">
        <f>E31*Dashboard!$I$4</f>
        <v>15750</v>
      </c>
      <c r="H48" s="48"/>
      <c r="I48" s="7">
        <f t="shared" si="8"/>
        <v>9</v>
      </c>
      <c r="J48" s="31">
        <f>I48*Dashboard!$I$3</f>
        <v>15102</v>
      </c>
      <c r="K48" s="29">
        <f>I29*Dashboard!$I$4</f>
        <v>15750</v>
      </c>
      <c r="L48" s="48"/>
      <c r="M48" s="7">
        <f t="shared" si="9"/>
        <v>12</v>
      </c>
      <c r="N48" s="31">
        <f>M48*Dashboard!$I$3</f>
        <v>20136</v>
      </c>
      <c r="O48" s="18">
        <f>M27*Dashboard!$I$4</f>
        <v>21000</v>
      </c>
      <c r="P48" s="48"/>
      <c r="Q48" s="32">
        <f t="shared" si="10"/>
        <v>30</v>
      </c>
      <c r="R48" s="31">
        <f t="shared" si="0"/>
        <v>50340</v>
      </c>
      <c r="S48" s="31">
        <f t="shared" si="1"/>
        <v>52500</v>
      </c>
      <c r="T48" s="31">
        <f t="shared" si="13"/>
        <v>2160</v>
      </c>
      <c r="U48" s="31">
        <f>U47-R48+S48+V48-Custos!D48+Z47+AF47+AL47-AB47-AH47-AM47</f>
        <v>14869.086144004137</v>
      </c>
      <c r="V48" s="31">
        <f>U47*(((1+Dashboard!$C$17)^(1/30))-1)</f>
        <v>5.3446518313367406</v>
      </c>
      <c r="W48" s="29">
        <f t="shared" si="2"/>
        <v>65209.086144004134</v>
      </c>
      <c r="X48" s="45">
        <f>-R48+S48-Custos!D48</f>
        <v>656.59999999999991</v>
      </c>
      <c r="Z48" s="83">
        <v>0</v>
      </c>
      <c r="AA48" s="33">
        <f>AC47*(((1+Dashboard!$C$20)^(1/30))-1)</f>
        <v>280.34594320882888</v>
      </c>
      <c r="AB48" s="84">
        <v>0</v>
      </c>
      <c r="AC48" s="18">
        <f t="shared" si="11"/>
        <v>611939.62248224951</v>
      </c>
      <c r="AD48" s="47">
        <f t="shared" si="3"/>
        <v>0</v>
      </c>
      <c r="AF48" s="83">
        <v>0</v>
      </c>
      <c r="AG48" s="33">
        <f>AI47*(((1+Dashboard!$C$21)^(1/30))-1)</f>
        <v>52.29000713494721</v>
      </c>
      <c r="AH48" s="84">
        <v>0</v>
      </c>
      <c r="AI48" s="29">
        <f t="shared" si="12"/>
        <v>102224.48534272086</v>
      </c>
      <c r="AJ48" s="45">
        <f t="shared" si="4"/>
        <v>0</v>
      </c>
      <c r="AL48" s="83">
        <v>0</v>
      </c>
      <c r="AM48" s="22">
        <v>0</v>
      </c>
      <c r="AN48" s="45">
        <f t="shared" si="5"/>
        <v>0</v>
      </c>
    </row>
    <row r="49" spans="2:40" x14ac:dyDescent="0.25">
      <c r="B49" s="53">
        <f>B48*(((1+Dashboard!$C$20)^(1/30)))</f>
        <v>1020366.8281971921</v>
      </c>
      <c r="C49" s="1">
        <v>45</v>
      </c>
      <c r="D49" s="51">
        <f t="shared" si="6"/>
        <v>46218</v>
      </c>
      <c r="E49" s="7">
        <f t="shared" si="7"/>
        <v>9</v>
      </c>
      <c r="F49" s="31">
        <f>E49*Dashboard!$I$3</f>
        <v>15102</v>
      </c>
      <c r="G49" s="18">
        <f>E32*Dashboard!$I$4</f>
        <v>15750</v>
      </c>
      <c r="H49" s="48"/>
      <c r="I49" s="7">
        <f t="shared" si="8"/>
        <v>9</v>
      </c>
      <c r="J49" s="31">
        <f>I49*Dashboard!$I$3</f>
        <v>15102</v>
      </c>
      <c r="K49" s="29">
        <f>I30*Dashboard!$I$4</f>
        <v>15750</v>
      </c>
      <c r="L49" s="48"/>
      <c r="M49" s="7">
        <f t="shared" si="9"/>
        <v>12</v>
      </c>
      <c r="N49" s="31">
        <f>M49*Dashboard!$I$3</f>
        <v>20136</v>
      </c>
      <c r="O49" s="18">
        <f>M28*Dashboard!$I$4</f>
        <v>21000</v>
      </c>
      <c r="P49" s="48"/>
      <c r="Q49" s="32">
        <f t="shared" si="10"/>
        <v>30</v>
      </c>
      <c r="R49" s="31">
        <f t="shared" si="0"/>
        <v>50340</v>
      </c>
      <c r="S49" s="31">
        <f t="shared" si="1"/>
        <v>52500</v>
      </c>
      <c r="T49" s="31">
        <f t="shared" si="13"/>
        <v>2160</v>
      </c>
      <c r="U49" s="31">
        <f>U48-R49+S49+V49-Custos!D49+Z48+AF48+AL48-AB48-AH48-AM48</f>
        <v>15531.27981592847</v>
      </c>
      <c r="V49" s="31">
        <f>U48*(((1+Dashboard!$C$17)^(1/30))-1)</f>
        <v>5.5936719243373672</v>
      </c>
      <c r="W49" s="29">
        <f t="shared" si="2"/>
        <v>65871.279815928472</v>
      </c>
      <c r="X49" s="45">
        <f>-R49+S49-Custos!D49</f>
        <v>656.59999999999991</v>
      </c>
      <c r="Z49" s="83">
        <v>0</v>
      </c>
      <c r="AA49" s="33">
        <f>AC48*(((1+Dashboard!$C$20)^(1/30))-1)</f>
        <v>280.47443606569902</v>
      </c>
      <c r="AB49" s="84">
        <v>0</v>
      </c>
      <c r="AC49" s="18">
        <f t="shared" si="11"/>
        <v>612220.09691831516</v>
      </c>
      <c r="AD49" s="47">
        <f t="shared" si="3"/>
        <v>0</v>
      </c>
      <c r="AF49" s="83">
        <v>0</v>
      </c>
      <c r="AG49" s="33">
        <f>AI48*(((1+Dashboard!$C$21)^(1/30))-1)</f>
        <v>52.316768279084236</v>
      </c>
      <c r="AH49" s="84">
        <v>0</v>
      </c>
      <c r="AI49" s="29">
        <f t="shared" si="12"/>
        <v>102276.80211099994</v>
      </c>
      <c r="AJ49" s="45">
        <f t="shared" si="4"/>
        <v>0</v>
      </c>
      <c r="AL49" s="83">
        <v>0</v>
      </c>
      <c r="AM49" s="22">
        <v>0</v>
      </c>
      <c r="AN49" s="45">
        <f t="shared" si="5"/>
        <v>0</v>
      </c>
    </row>
    <row r="50" spans="2:40" x14ac:dyDescent="0.25">
      <c r="B50" s="53">
        <f>B49*(((1+Dashboard!$C$20)^(1/30)))</f>
        <v>1020834.4998435513</v>
      </c>
      <c r="C50" s="1">
        <v>46</v>
      </c>
      <c r="D50" s="51">
        <f t="shared" si="6"/>
        <v>46219</v>
      </c>
      <c r="E50" s="7">
        <f t="shared" si="7"/>
        <v>9</v>
      </c>
      <c r="F50" s="31">
        <f>E50*Dashboard!$I$3</f>
        <v>15102</v>
      </c>
      <c r="G50" s="18">
        <f>E33*Dashboard!$I$4</f>
        <v>15750</v>
      </c>
      <c r="H50" s="48"/>
      <c r="I50" s="7">
        <f t="shared" si="8"/>
        <v>9</v>
      </c>
      <c r="J50" s="31">
        <f>I50*Dashboard!$I$3</f>
        <v>15102</v>
      </c>
      <c r="K50" s="29">
        <f>I31*Dashboard!$I$4</f>
        <v>15750</v>
      </c>
      <c r="L50" s="48"/>
      <c r="M50" s="7">
        <f t="shared" si="9"/>
        <v>12</v>
      </c>
      <c r="N50" s="31">
        <f>M50*Dashboard!$I$3</f>
        <v>20136</v>
      </c>
      <c r="O50" s="18">
        <f>M29*Dashboard!$I$4</f>
        <v>21000</v>
      </c>
      <c r="P50" s="48"/>
      <c r="Q50" s="32">
        <f t="shared" si="10"/>
        <v>30</v>
      </c>
      <c r="R50" s="31">
        <f t="shared" si="0"/>
        <v>50340</v>
      </c>
      <c r="S50" s="31">
        <f t="shared" si="1"/>
        <v>52500</v>
      </c>
      <c r="T50" s="31">
        <f t="shared" si="13"/>
        <v>2160</v>
      </c>
      <c r="U50" s="31">
        <f>U49-R50+S50+V50-Custos!D50+Z49+AF49+AL49-AB49-AH49-AM49</f>
        <v>16193.722601625859</v>
      </c>
      <c r="V50" s="31">
        <f>U49*(((1+Dashboard!$C$17)^(1/30))-1)</f>
        <v>5.8427856973859331</v>
      </c>
      <c r="W50" s="29">
        <f t="shared" si="2"/>
        <v>66533.722601625865</v>
      </c>
      <c r="X50" s="45">
        <f>-R50+S50-Custos!D50</f>
        <v>656.59999999999991</v>
      </c>
      <c r="Z50" s="83">
        <v>0</v>
      </c>
      <c r="AA50" s="33">
        <f>AC49*(((1+Dashboard!$C$20)^(1/30))-1)</f>
        <v>280.60298781557145</v>
      </c>
      <c r="AB50" s="84">
        <v>0</v>
      </c>
      <c r="AC50" s="18">
        <f t="shared" si="11"/>
        <v>612500.69990613079</v>
      </c>
      <c r="AD50" s="47">
        <f t="shared" si="3"/>
        <v>0</v>
      </c>
      <c r="AF50" s="83">
        <v>0</v>
      </c>
      <c r="AG50" s="33">
        <f>AI49*(((1+Dashboard!$C$21)^(1/30))-1)</f>
        <v>52.343543119123694</v>
      </c>
      <c r="AH50" s="84">
        <v>0</v>
      </c>
      <c r="AI50" s="29">
        <f t="shared" si="12"/>
        <v>102329.14565411906</v>
      </c>
      <c r="AJ50" s="45">
        <f t="shared" si="4"/>
        <v>0</v>
      </c>
      <c r="AL50" s="83">
        <v>0</v>
      </c>
      <c r="AM50" s="22">
        <v>0</v>
      </c>
      <c r="AN50" s="45">
        <f t="shared" si="5"/>
        <v>0</v>
      </c>
    </row>
    <row r="51" spans="2:40" x14ac:dyDescent="0.25">
      <c r="B51" s="53">
        <f>B50*(((1+Dashboard!$C$20)^(1/30)))</f>
        <v>1021302.385841027</v>
      </c>
      <c r="C51" s="1">
        <v>47</v>
      </c>
      <c r="D51" s="51">
        <f t="shared" si="6"/>
        <v>46220</v>
      </c>
      <c r="E51" s="7">
        <f t="shared" si="7"/>
        <v>9</v>
      </c>
      <c r="F51" s="31">
        <f>E51*Dashboard!$I$3</f>
        <v>15102</v>
      </c>
      <c r="G51" s="18">
        <f>E34*Dashboard!$I$4</f>
        <v>15750</v>
      </c>
      <c r="H51" s="48"/>
      <c r="I51" s="7">
        <f t="shared" si="8"/>
        <v>9</v>
      </c>
      <c r="J51" s="31">
        <f>I51*Dashboard!$I$3</f>
        <v>15102</v>
      </c>
      <c r="K51" s="29">
        <f>I32*Dashboard!$I$4</f>
        <v>15750</v>
      </c>
      <c r="L51" s="48"/>
      <c r="M51" s="7">
        <f t="shared" si="9"/>
        <v>12</v>
      </c>
      <c r="N51" s="31">
        <f>M51*Dashboard!$I$3</f>
        <v>20136</v>
      </c>
      <c r="O51" s="18">
        <f>M30*Dashboard!$I$4</f>
        <v>21000</v>
      </c>
      <c r="P51" s="48"/>
      <c r="Q51" s="32">
        <f t="shared" si="10"/>
        <v>30</v>
      </c>
      <c r="R51" s="31">
        <f t="shared" si="0"/>
        <v>50340</v>
      </c>
      <c r="S51" s="31">
        <f t="shared" si="1"/>
        <v>52500</v>
      </c>
      <c r="T51" s="31">
        <f t="shared" si="13"/>
        <v>2160</v>
      </c>
      <c r="U51" s="31">
        <f>U50-R51+S51+V51-Custos!D51+Z50+AF50+AL50-AB50-AH50-AM50</f>
        <v>16856.41459481158</v>
      </c>
      <c r="V51" s="31">
        <f>U50*(((1+Dashboard!$C$17)^(1/30))-1)</f>
        <v>6.091993185724383</v>
      </c>
      <c r="W51" s="29">
        <f t="shared" si="2"/>
        <v>67196.414594811577</v>
      </c>
      <c r="X51" s="45">
        <f>-R51+S51-Custos!D51</f>
        <v>656.59999999999991</v>
      </c>
      <c r="Z51" s="83">
        <v>0</v>
      </c>
      <c r="AA51" s="33">
        <f>AC50*(((1+Dashboard!$C$20)^(1/30))-1)</f>
        <v>280.73159848543901</v>
      </c>
      <c r="AB51" s="84">
        <v>0</v>
      </c>
      <c r="AC51" s="18">
        <f t="shared" si="11"/>
        <v>612781.43150461628</v>
      </c>
      <c r="AD51" s="47">
        <f t="shared" si="3"/>
        <v>0</v>
      </c>
      <c r="AF51" s="83">
        <v>0</v>
      </c>
      <c r="AG51" s="33">
        <f>AI50*(((1+Dashboard!$C$21)^(1/30))-1)</f>
        <v>52.370331662074911</v>
      </c>
      <c r="AH51" s="84">
        <v>0</v>
      </c>
      <c r="AI51" s="29">
        <f t="shared" si="12"/>
        <v>102381.51598578114</v>
      </c>
      <c r="AJ51" s="45">
        <f t="shared" si="4"/>
        <v>0</v>
      </c>
      <c r="AL51" s="83">
        <v>0</v>
      </c>
      <c r="AM51" s="22">
        <v>0</v>
      </c>
      <c r="AN51" s="45">
        <f t="shared" si="5"/>
        <v>0</v>
      </c>
    </row>
    <row r="52" spans="2:40" x14ac:dyDescent="0.25">
      <c r="B52" s="53">
        <f>B51*(((1+Dashboard!$C$20)^(1/30)))</f>
        <v>1021770.4862878642</v>
      </c>
      <c r="C52" s="1">
        <v>48</v>
      </c>
      <c r="D52" s="51">
        <f t="shared" si="6"/>
        <v>46221</v>
      </c>
      <c r="E52" s="7">
        <f t="shared" si="7"/>
        <v>9</v>
      </c>
      <c r="F52" s="31">
        <f>E52*Dashboard!$I$3</f>
        <v>15102</v>
      </c>
      <c r="G52" s="18">
        <f>E35*Dashboard!$I$4</f>
        <v>15750</v>
      </c>
      <c r="H52" s="48"/>
      <c r="I52" s="7">
        <f t="shared" si="8"/>
        <v>9</v>
      </c>
      <c r="J52" s="31">
        <f>I52*Dashboard!$I$3</f>
        <v>15102</v>
      </c>
      <c r="K52" s="29">
        <f>I33*Dashboard!$I$4</f>
        <v>15750</v>
      </c>
      <c r="L52" s="48"/>
      <c r="M52" s="7">
        <f t="shared" si="9"/>
        <v>12</v>
      </c>
      <c r="N52" s="31">
        <f>M52*Dashboard!$I$3</f>
        <v>20136</v>
      </c>
      <c r="O52" s="18">
        <f>M31*Dashboard!$I$4</f>
        <v>21000</v>
      </c>
      <c r="P52" s="48"/>
      <c r="Q52" s="32">
        <f t="shared" si="10"/>
        <v>30</v>
      </c>
      <c r="R52" s="31">
        <f t="shared" si="0"/>
        <v>50340</v>
      </c>
      <c r="S52" s="31">
        <f t="shared" si="1"/>
        <v>52500</v>
      </c>
      <c r="T52" s="31">
        <f t="shared" si="13"/>
        <v>2160</v>
      </c>
      <c r="U52" s="31">
        <f>U51-R52+S52+V52-Custos!D52+Z51+AF51+AL51-AB51-AH51-AM51</f>
        <v>17519.355889236183</v>
      </c>
      <c r="V52" s="31">
        <f>U51*(((1+Dashboard!$C$17)^(1/30))-1)</f>
        <v>6.341294424607911</v>
      </c>
      <c r="W52" s="29">
        <f t="shared" si="2"/>
        <v>67859.355889236176</v>
      </c>
      <c r="X52" s="45">
        <f>-R52+S52-Custos!D52</f>
        <v>656.59999999999991</v>
      </c>
      <c r="Z52" s="83">
        <v>0</v>
      </c>
      <c r="AA52" s="33">
        <f>AC51*(((1+Dashboard!$C$20)^(1/30))-1)</f>
        <v>280.86026810230686</v>
      </c>
      <c r="AB52" s="84">
        <v>0</v>
      </c>
      <c r="AC52" s="18">
        <f t="shared" si="11"/>
        <v>613062.29177271854</v>
      </c>
      <c r="AD52" s="47">
        <f t="shared" si="3"/>
        <v>0</v>
      </c>
      <c r="AF52" s="83">
        <v>0</v>
      </c>
      <c r="AG52" s="33">
        <f>AI51*(((1+Dashboard!$C$21)^(1/30))-1)</f>
        <v>52.397133914950807</v>
      </c>
      <c r="AH52" s="84">
        <v>0</v>
      </c>
      <c r="AI52" s="29">
        <f t="shared" si="12"/>
        <v>102433.9131196961</v>
      </c>
      <c r="AJ52" s="45">
        <f t="shared" si="4"/>
        <v>0</v>
      </c>
      <c r="AL52" s="83">
        <v>0</v>
      </c>
      <c r="AM52" s="22">
        <v>0</v>
      </c>
      <c r="AN52" s="45">
        <f t="shared" si="5"/>
        <v>0</v>
      </c>
    </row>
    <row r="53" spans="2:40" x14ac:dyDescent="0.25">
      <c r="B53" s="53">
        <f>B52*(((1+Dashboard!$C$20)^(1/30)))</f>
        <v>1022238.8012823528</v>
      </c>
      <c r="C53" s="1">
        <v>49</v>
      </c>
      <c r="D53" s="51">
        <f t="shared" si="6"/>
        <v>46222</v>
      </c>
      <c r="E53" s="7">
        <f t="shared" si="7"/>
        <v>9</v>
      </c>
      <c r="F53" s="31">
        <f>E53*Dashboard!$I$3</f>
        <v>15102</v>
      </c>
      <c r="G53" s="18">
        <f>E36*Dashboard!$I$4</f>
        <v>15750</v>
      </c>
      <c r="H53" s="48"/>
      <c r="I53" s="7">
        <f t="shared" si="8"/>
        <v>9</v>
      </c>
      <c r="J53" s="31">
        <f>I53*Dashboard!$I$3</f>
        <v>15102</v>
      </c>
      <c r="K53" s="29">
        <f>I34*Dashboard!$I$4</f>
        <v>15750</v>
      </c>
      <c r="L53" s="48"/>
      <c r="M53" s="7">
        <f t="shared" si="9"/>
        <v>12</v>
      </c>
      <c r="N53" s="31">
        <f>M53*Dashboard!$I$3</f>
        <v>20136</v>
      </c>
      <c r="O53" s="18">
        <f>M32*Dashboard!$I$4</f>
        <v>21000</v>
      </c>
      <c r="P53" s="48"/>
      <c r="Q53" s="32">
        <f t="shared" si="10"/>
        <v>30</v>
      </c>
      <c r="R53" s="31">
        <f t="shared" si="0"/>
        <v>50340</v>
      </c>
      <c r="S53" s="31">
        <f t="shared" si="1"/>
        <v>52500</v>
      </c>
      <c r="T53" s="31">
        <f t="shared" si="13"/>
        <v>2160</v>
      </c>
      <c r="U53" s="31">
        <f>U52-R53+S53+V53-Custos!D53+Z52+AF52+AL52-AB52-AH52-AM52</f>
        <v>18182.546578685487</v>
      </c>
      <c r="V53" s="31">
        <f>U52*(((1+Dashboard!$C$17)^(1/30))-1)</f>
        <v>6.590689449304981</v>
      </c>
      <c r="W53" s="29">
        <f t="shared" si="2"/>
        <v>68522.546578685491</v>
      </c>
      <c r="X53" s="45">
        <f>-R53+S53-Custos!D53</f>
        <v>656.59999999999991</v>
      </c>
      <c r="Z53" s="83">
        <v>0</v>
      </c>
      <c r="AA53" s="33">
        <f>AC52*(((1+Dashboard!$C$20)^(1/30))-1)</f>
        <v>280.98899669319252</v>
      </c>
      <c r="AB53" s="84">
        <v>0</v>
      </c>
      <c r="AC53" s="18">
        <f t="shared" si="11"/>
        <v>613343.28076941171</v>
      </c>
      <c r="AD53" s="47">
        <f t="shared" si="3"/>
        <v>0</v>
      </c>
      <c r="AF53" s="83">
        <v>0</v>
      </c>
      <c r="AG53" s="33">
        <f>AI52*(((1+Dashboard!$C$21)^(1/30))-1)</f>
        <v>52.423949884767886</v>
      </c>
      <c r="AH53" s="84">
        <v>0</v>
      </c>
      <c r="AI53" s="29">
        <f t="shared" si="12"/>
        <v>102486.33706958087</v>
      </c>
      <c r="AJ53" s="45">
        <f t="shared" si="4"/>
        <v>0</v>
      </c>
      <c r="AL53" s="83">
        <v>0</v>
      </c>
      <c r="AM53" s="22">
        <v>0</v>
      </c>
      <c r="AN53" s="45">
        <f t="shared" si="5"/>
        <v>0</v>
      </c>
    </row>
    <row r="54" spans="2:40" x14ac:dyDescent="0.25">
      <c r="B54" s="53">
        <f>B53*(((1+Dashboard!$C$20)^(1/30)))</f>
        <v>1022707.3309228279</v>
      </c>
      <c r="C54" s="1">
        <v>50</v>
      </c>
      <c r="D54" s="51">
        <f t="shared" si="6"/>
        <v>46223</v>
      </c>
      <c r="E54" s="7">
        <f t="shared" si="7"/>
        <v>9</v>
      </c>
      <c r="F54" s="31">
        <f>E54*Dashboard!$I$3</f>
        <v>15102</v>
      </c>
      <c r="G54" s="18">
        <f>E37*Dashboard!$I$4</f>
        <v>15750</v>
      </c>
      <c r="H54" s="48"/>
      <c r="I54" s="7">
        <f t="shared" si="8"/>
        <v>9</v>
      </c>
      <c r="J54" s="31">
        <f>I54*Dashboard!$I$3</f>
        <v>15102</v>
      </c>
      <c r="K54" s="29">
        <f>I35*Dashboard!$I$4</f>
        <v>15750</v>
      </c>
      <c r="L54" s="48"/>
      <c r="M54" s="7">
        <f t="shared" si="9"/>
        <v>12</v>
      </c>
      <c r="N54" s="31">
        <f>M54*Dashboard!$I$3</f>
        <v>20136</v>
      </c>
      <c r="O54" s="18">
        <f>M33*Dashboard!$I$4</f>
        <v>21000</v>
      </c>
      <c r="P54" s="48"/>
      <c r="Q54" s="32">
        <f t="shared" si="10"/>
        <v>30</v>
      </c>
      <c r="R54" s="31">
        <f t="shared" si="0"/>
        <v>50340</v>
      </c>
      <c r="S54" s="31">
        <f t="shared" si="1"/>
        <v>52500</v>
      </c>
      <c r="T54" s="31">
        <f t="shared" si="13"/>
        <v>2160</v>
      </c>
      <c r="U54" s="31">
        <f>U53-R54+S54+V54-Custos!D54+Z53+AF53+AL53-AB53-AH53-AM53</f>
        <v>18845.986756980583</v>
      </c>
      <c r="V54" s="31">
        <f>U53*(((1+Dashboard!$C$17)^(1/30))-1)</f>
        <v>6.8401782950973242</v>
      </c>
      <c r="W54" s="29">
        <f t="shared" si="2"/>
        <v>69185.986756980579</v>
      </c>
      <c r="X54" s="45">
        <f>-R54+S54-Custos!D54</f>
        <v>656.59999999999991</v>
      </c>
      <c r="Z54" s="83">
        <v>0</v>
      </c>
      <c r="AA54" s="33">
        <f>AC53*(((1+Dashboard!$C$20)^(1/30))-1)</f>
        <v>281.11778428512599</v>
      </c>
      <c r="AB54" s="84">
        <v>0</v>
      </c>
      <c r="AC54" s="18">
        <f t="shared" si="11"/>
        <v>613624.39855369681</v>
      </c>
      <c r="AD54" s="47">
        <f t="shared" si="3"/>
        <v>0</v>
      </c>
      <c r="AF54" s="83">
        <v>0</v>
      </c>
      <c r="AG54" s="33">
        <f>AI53*(((1+Dashboard!$C$21)^(1/30))-1)</f>
        <v>52.450779578546253</v>
      </c>
      <c r="AH54" s="84">
        <v>0</v>
      </c>
      <c r="AI54" s="29">
        <f t="shared" si="12"/>
        <v>102538.78784915942</v>
      </c>
      <c r="AJ54" s="45">
        <f t="shared" si="4"/>
        <v>0</v>
      </c>
      <c r="AL54" s="83">
        <v>0</v>
      </c>
      <c r="AM54" s="22">
        <v>0</v>
      </c>
      <c r="AN54" s="45">
        <f t="shared" si="5"/>
        <v>0</v>
      </c>
    </row>
    <row r="55" spans="2:40" x14ac:dyDescent="0.25">
      <c r="B55" s="53">
        <f>B54*(((1+Dashboard!$C$20)^(1/30)))</f>
        <v>1023176.0753076698</v>
      </c>
      <c r="C55" s="1">
        <v>51</v>
      </c>
      <c r="D55" s="51">
        <f t="shared" si="6"/>
        <v>46224</v>
      </c>
      <c r="E55" s="7">
        <f t="shared" si="7"/>
        <v>9</v>
      </c>
      <c r="F55" s="31">
        <f>E55*Dashboard!$I$3</f>
        <v>15102</v>
      </c>
      <c r="G55" s="18">
        <f>E38*Dashboard!$I$4</f>
        <v>15750</v>
      </c>
      <c r="H55" s="48"/>
      <c r="I55" s="7">
        <f t="shared" si="8"/>
        <v>9</v>
      </c>
      <c r="J55" s="31">
        <f>I55*Dashboard!$I$3</f>
        <v>15102</v>
      </c>
      <c r="K55" s="29">
        <f>I36*Dashboard!$I$4</f>
        <v>15750</v>
      </c>
      <c r="L55" s="48"/>
      <c r="M55" s="7">
        <f t="shared" si="9"/>
        <v>12</v>
      </c>
      <c r="N55" s="31">
        <f>M55*Dashboard!$I$3</f>
        <v>20136</v>
      </c>
      <c r="O55" s="18">
        <f>M34*Dashboard!$I$4</f>
        <v>21000</v>
      </c>
      <c r="P55" s="48"/>
      <c r="Q55" s="32">
        <f t="shared" si="10"/>
        <v>30</v>
      </c>
      <c r="R55" s="31">
        <f t="shared" si="0"/>
        <v>50340</v>
      </c>
      <c r="S55" s="31">
        <f t="shared" si="1"/>
        <v>52500</v>
      </c>
      <c r="T55" s="31">
        <f t="shared" si="13"/>
        <v>2160</v>
      </c>
      <c r="U55" s="31">
        <f>U54-R55+S55+V55-Custos!D55+Z54+AF54+AL54-AB54-AH54-AM54</f>
        <v>19509.676517977863</v>
      </c>
      <c r="V55" s="31">
        <f>U54*(((1+Dashboard!$C$17)^(1/30))-1)</f>
        <v>7.0897609972799405</v>
      </c>
      <c r="W55" s="29">
        <f t="shared" si="2"/>
        <v>69849.676517977859</v>
      </c>
      <c r="X55" s="45">
        <f>-R55+S55-Custos!D55</f>
        <v>656.59999999999991</v>
      </c>
      <c r="Z55" s="83">
        <v>0</v>
      </c>
      <c r="AA55" s="33">
        <f>AC54*(((1+Dashboard!$C$20)^(1/30))-1)</f>
        <v>281.24663090514969</v>
      </c>
      <c r="AB55" s="84">
        <v>0</v>
      </c>
      <c r="AC55" s="18">
        <f t="shared" si="11"/>
        <v>613905.64518460201</v>
      </c>
      <c r="AD55" s="47">
        <f t="shared" si="3"/>
        <v>0</v>
      </c>
      <c r="AF55" s="83">
        <v>0</v>
      </c>
      <c r="AG55" s="33">
        <f>AI54*(((1+Dashboard!$C$21)^(1/30))-1)</f>
        <v>52.477623003309589</v>
      </c>
      <c r="AH55" s="84">
        <v>0</v>
      </c>
      <c r="AI55" s="29">
        <f t="shared" si="12"/>
        <v>102591.26547216273</v>
      </c>
      <c r="AJ55" s="45">
        <f t="shared" si="4"/>
        <v>0</v>
      </c>
      <c r="AL55" s="83">
        <v>0</v>
      </c>
      <c r="AM55" s="22">
        <v>0</v>
      </c>
      <c r="AN55" s="45">
        <f t="shared" si="5"/>
        <v>0</v>
      </c>
    </row>
    <row r="56" spans="2:40" x14ac:dyDescent="0.25">
      <c r="B56" s="53">
        <f>B55*(((1+Dashboard!$C$20)^(1/30)))</f>
        <v>1023645.0345353037</v>
      </c>
      <c r="C56" s="1">
        <v>52</v>
      </c>
      <c r="D56" s="51">
        <f t="shared" si="6"/>
        <v>46225</v>
      </c>
      <c r="E56" s="7">
        <f t="shared" si="7"/>
        <v>9</v>
      </c>
      <c r="F56" s="31">
        <f>E56*Dashboard!$I$3</f>
        <v>15102</v>
      </c>
      <c r="G56" s="18">
        <f>E39*Dashboard!$I$4</f>
        <v>15750</v>
      </c>
      <c r="H56" s="48"/>
      <c r="I56" s="7">
        <f t="shared" si="8"/>
        <v>9</v>
      </c>
      <c r="J56" s="31">
        <f>I56*Dashboard!$I$3</f>
        <v>15102</v>
      </c>
      <c r="K56" s="29">
        <f>I37*Dashboard!$I$4</f>
        <v>15750</v>
      </c>
      <c r="L56" s="48"/>
      <c r="M56" s="7">
        <f t="shared" si="9"/>
        <v>12</v>
      </c>
      <c r="N56" s="31">
        <f>M56*Dashboard!$I$3</f>
        <v>20136</v>
      </c>
      <c r="O56" s="18">
        <f>M35*Dashboard!$I$4</f>
        <v>21000</v>
      </c>
      <c r="P56" s="48"/>
      <c r="Q56" s="32">
        <f t="shared" si="10"/>
        <v>30</v>
      </c>
      <c r="R56" s="31">
        <f t="shared" si="0"/>
        <v>50340</v>
      </c>
      <c r="S56" s="31">
        <f t="shared" si="1"/>
        <v>52500</v>
      </c>
      <c r="T56" s="31">
        <f t="shared" si="13"/>
        <v>2160</v>
      </c>
      <c r="U56" s="31">
        <f>U55-R56+S56+V56-Custos!D56+Z55+AF55+AL55-AB55-AH55-AM55</f>
        <v>20173.615955569021</v>
      </c>
      <c r="V56" s="31">
        <f>U55*(((1+Dashboard!$C$17)^(1/30))-1)</f>
        <v>7.3394375911611114</v>
      </c>
      <c r="W56" s="29">
        <f t="shared" si="2"/>
        <v>70513.615955569025</v>
      </c>
      <c r="X56" s="45">
        <f>-R56+S56-Custos!D56</f>
        <v>656.59999999999991</v>
      </c>
      <c r="Z56" s="83">
        <v>0</v>
      </c>
      <c r="AA56" s="33">
        <f>AC55*(((1+Dashboard!$C$20)^(1/30))-1)</f>
        <v>281.37553658031828</v>
      </c>
      <c r="AB56" s="84">
        <v>0</v>
      </c>
      <c r="AC56" s="18">
        <f t="shared" si="11"/>
        <v>614187.02072118234</v>
      </c>
      <c r="AD56" s="47">
        <f t="shared" si="3"/>
        <v>0</v>
      </c>
      <c r="AF56" s="83">
        <v>0</v>
      </c>
      <c r="AG56" s="33">
        <f>AI55*(((1+Dashboard!$C$21)^(1/30))-1)</f>
        <v>52.504480166085187</v>
      </c>
      <c r="AH56" s="84">
        <v>0</v>
      </c>
      <c r="AI56" s="29">
        <f t="shared" si="12"/>
        <v>102643.76995232882</v>
      </c>
      <c r="AJ56" s="45">
        <f t="shared" si="4"/>
        <v>0</v>
      </c>
      <c r="AL56" s="83">
        <v>0</v>
      </c>
      <c r="AM56" s="22">
        <v>0</v>
      </c>
      <c r="AN56" s="45">
        <f t="shared" si="5"/>
        <v>0</v>
      </c>
    </row>
    <row r="57" spans="2:40" x14ac:dyDescent="0.25">
      <c r="B57" s="53">
        <f>B56*(((1+Dashboard!$C$20)^(1/30)))</f>
        <v>1024114.2087041999</v>
      </c>
      <c r="C57" s="1">
        <v>53</v>
      </c>
      <c r="D57" s="51">
        <f t="shared" si="6"/>
        <v>46226</v>
      </c>
      <c r="E57" s="7">
        <f t="shared" si="7"/>
        <v>9</v>
      </c>
      <c r="F57" s="31">
        <f>E57*Dashboard!$I$3</f>
        <v>15102</v>
      </c>
      <c r="G57" s="18">
        <f>E40*Dashboard!$I$4</f>
        <v>15750</v>
      </c>
      <c r="H57" s="48"/>
      <c r="I57" s="7">
        <f t="shared" si="8"/>
        <v>9</v>
      </c>
      <c r="J57" s="31">
        <f>I57*Dashboard!$I$3</f>
        <v>15102</v>
      </c>
      <c r="K57" s="29">
        <f>I38*Dashboard!$I$4</f>
        <v>15750</v>
      </c>
      <c r="L57" s="48"/>
      <c r="M57" s="7">
        <f t="shared" si="9"/>
        <v>12</v>
      </c>
      <c r="N57" s="31">
        <f>M57*Dashboard!$I$3</f>
        <v>20136</v>
      </c>
      <c r="O57" s="18">
        <f>M36*Dashboard!$I$4</f>
        <v>21000</v>
      </c>
      <c r="P57" s="48"/>
      <c r="Q57" s="32">
        <f t="shared" si="10"/>
        <v>30</v>
      </c>
      <c r="R57" s="31">
        <f t="shared" si="0"/>
        <v>50340</v>
      </c>
      <c r="S57" s="31">
        <f t="shared" si="1"/>
        <v>52500</v>
      </c>
      <c r="T57" s="31">
        <f t="shared" si="13"/>
        <v>2160</v>
      </c>
      <c r="U57" s="31">
        <f>U56-R57+S57+V57-Custos!D57+Z56+AF56+AL56-AB56-AH56-AM56</f>
        <v>20837.805163681081</v>
      </c>
      <c r="V57" s="31">
        <f>U56*(((1+Dashboard!$C$17)^(1/30))-1)</f>
        <v>7.5892081120623969</v>
      </c>
      <c r="W57" s="29">
        <f t="shared" si="2"/>
        <v>71177.805163681085</v>
      </c>
      <c r="X57" s="45">
        <f>-R57+S57-Custos!D57</f>
        <v>656.59999999999991</v>
      </c>
      <c r="Z57" s="83">
        <v>0</v>
      </c>
      <c r="AA57" s="33">
        <f>AC56*(((1+Dashboard!$C$20)^(1/30))-1)</f>
        <v>281.50450133769897</v>
      </c>
      <c r="AB57" s="84">
        <v>0</v>
      </c>
      <c r="AC57" s="18">
        <f t="shared" si="11"/>
        <v>614468.52522251999</v>
      </c>
      <c r="AD57" s="47">
        <f t="shared" si="3"/>
        <v>0</v>
      </c>
      <c r="AF57" s="83">
        <v>0</v>
      </c>
      <c r="AG57" s="33">
        <f>AI56*(((1+Dashboard!$C$21)^(1/30))-1)</f>
        <v>52.531351073903934</v>
      </c>
      <c r="AH57" s="84">
        <v>0</v>
      </c>
      <c r="AI57" s="29">
        <f t="shared" si="12"/>
        <v>102696.30130340272</v>
      </c>
      <c r="AJ57" s="45">
        <f t="shared" si="4"/>
        <v>0</v>
      </c>
      <c r="AL57" s="83">
        <v>0</v>
      </c>
      <c r="AM57" s="22">
        <v>0</v>
      </c>
      <c r="AN57" s="45">
        <f t="shared" si="5"/>
        <v>0</v>
      </c>
    </row>
    <row r="58" spans="2:40" x14ac:dyDescent="0.25">
      <c r="B58" s="53">
        <f>B57*(((1+Dashboard!$C$20)^(1/30)))</f>
        <v>1024583.5979128738</v>
      </c>
      <c r="C58" s="1">
        <v>54</v>
      </c>
      <c r="D58" s="51">
        <f t="shared" si="6"/>
        <v>46227</v>
      </c>
      <c r="E58" s="7">
        <f t="shared" si="7"/>
        <v>9</v>
      </c>
      <c r="F58" s="31">
        <f>E58*Dashboard!$I$3</f>
        <v>15102</v>
      </c>
      <c r="G58" s="18">
        <f>E41*Dashboard!$I$4</f>
        <v>15750</v>
      </c>
      <c r="H58" s="48"/>
      <c r="I58" s="7">
        <f t="shared" si="8"/>
        <v>9</v>
      </c>
      <c r="J58" s="31">
        <f>I58*Dashboard!$I$3</f>
        <v>15102</v>
      </c>
      <c r="K58" s="29">
        <f>I39*Dashboard!$I$4</f>
        <v>15750</v>
      </c>
      <c r="L58" s="48"/>
      <c r="M58" s="7">
        <f t="shared" si="9"/>
        <v>12</v>
      </c>
      <c r="N58" s="31">
        <f>M58*Dashboard!$I$3</f>
        <v>20136</v>
      </c>
      <c r="O58" s="18">
        <f>M37*Dashboard!$I$4</f>
        <v>21000</v>
      </c>
      <c r="P58" s="48"/>
      <c r="Q58" s="32">
        <f t="shared" si="10"/>
        <v>30</v>
      </c>
      <c r="R58" s="31">
        <f t="shared" si="0"/>
        <v>50340</v>
      </c>
      <c r="S58" s="31">
        <f t="shared" si="1"/>
        <v>52500</v>
      </c>
      <c r="T58" s="31">
        <f t="shared" si="13"/>
        <v>2160</v>
      </c>
      <c r="U58" s="31">
        <f>U57-R58+S58+V58-Custos!D58+Z57+AF57+AL57-AB57-AH57-AM57</f>
        <v>21502.244236276398</v>
      </c>
      <c r="V58" s="31">
        <f>U57*(((1+Dashboard!$C$17)^(1/30))-1)</f>
        <v>7.8390725953186502</v>
      </c>
      <c r="W58" s="29">
        <f t="shared" si="2"/>
        <v>71842.244236276398</v>
      </c>
      <c r="X58" s="45">
        <f>-R58+S58-Custos!D58</f>
        <v>656.59999999999991</v>
      </c>
      <c r="Z58" s="83">
        <v>0</v>
      </c>
      <c r="AA58" s="33">
        <f>AC57*(((1+Dashboard!$C$20)^(1/30))-1)</f>
        <v>281.63352520437127</v>
      </c>
      <c r="AB58" s="84">
        <v>0</v>
      </c>
      <c r="AC58" s="18">
        <f t="shared" si="11"/>
        <v>614750.15874772437</v>
      </c>
      <c r="AD58" s="47">
        <f t="shared" si="3"/>
        <v>0</v>
      </c>
      <c r="AF58" s="83">
        <v>0</v>
      </c>
      <c r="AG58" s="33">
        <f>AI57*(((1+Dashboard!$C$21)^(1/30))-1)</f>
        <v>52.558235733800309</v>
      </c>
      <c r="AH58" s="84">
        <v>0</v>
      </c>
      <c r="AI58" s="29">
        <f t="shared" si="12"/>
        <v>102748.85953913652</v>
      </c>
      <c r="AJ58" s="45">
        <f t="shared" si="4"/>
        <v>0</v>
      </c>
      <c r="AL58" s="83">
        <v>0</v>
      </c>
      <c r="AM58" s="22">
        <v>0</v>
      </c>
      <c r="AN58" s="45">
        <f t="shared" si="5"/>
        <v>0</v>
      </c>
    </row>
    <row r="59" spans="2:40" x14ac:dyDescent="0.25">
      <c r="B59" s="53">
        <f>B58*(((1+Dashboard!$C$20)^(1/30)))</f>
        <v>1025053.2022598862</v>
      </c>
      <c r="C59" s="1">
        <v>55</v>
      </c>
      <c r="D59" s="51">
        <f t="shared" si="6"/>
        <v>46228</v>
      </c>
      <c r="E59" s="7">
        <f t="shared" si="7"/>
        <v>9</v>
      </c>
      <c r="F59" s="31">
        <f>E59*Dashboard!$I$3</f>
        <v>15102</v>
      </c>
      <c r="G59" s="18">
        <f>E42*Dashboard!$I$4</f>
        <v>15750</v>
      </c>
      <c r="H59" s="48"/>
      <c r="I59" s="7">
        <f t="shared" si="8"/>
        <v>9</v>
      </c>
      <c r="J59" s="31">
        <f>I59*Dashboard!$I$3</f>
        <v>15102</v>
      </c>
      <c r="K59" s="29">
        <f>I40*Dashboard!$I$4</f>
        <v>15750</v>
      </c>
      <c r="L59" s="48"/>
      <c r="M59" s="7">
        <f t="shared" si="9"/>
        <v>12</v>
      </c>
      <c r="N59" s="31">
        <f>M59*Dashboard!$I$3</f>
        <v>20136</v>
      </c>
      <c r="O59" s="18">
        <f>M38*Dashboard!$I$4</f>
        <v>21000</v>
      </c>
      <c r="P59" s="48"/>
      <c r="Q59" s="32">
        <f t="shared" si="10"/>
        <v>30</v>
      </c>
      <c r="R59" s="31">
        <f t="shared" si="0"/>
        <v>50340</v>
      </c>
      <c r="S59" s="31">
        <f t="shared" si="1"/>
        <v>52500</v>
      </c>
      <c r="T59" s="31">
        <f t="shared" si="13"/>
        <v>2160</v>
      </c>
      <c r="U59" s="31">
        <f>U58-R59+S59+V59-Custos!D59+Z58+AF58+AL58-AB58-AH58-AM58</f>
        <v>22166.933267352673</v>
      </c>
      <c r="V59" s="31">
        <f>U58*(((1+Dashboard!$C$17)^(1/30))-1)</f>
        <v>8.0890310762780118</v>
      </c>
      <c r="W59" s="29">
        <f t="shared" si="2"/>
        <v>72506.933267352666</v>
      </c>
      <c r="X59" s="45">
        <f>-R59+S59-Custos!D59</f>
        <v>656.59999999999991</v>
      </c>
      <c r="Z59" s="83">
        <v>0</v>
      </c>
      <c r="AA59" s="33">
        <f>AC58*(((1+Dashboard!$C$20)^(1/30))-1)</f>
        <v>281.76260820742715</v>
      </c>
      <c r="AB59" s="84">
        <v>0</v>
      </c>
      <c r="AC59" s="18">
        <f t="shared" si="11"/>
        <v>615031.92135593179</v>
      </c>
      <c r="AD59" s="47">
        <f t="shared" si="3"/>
        <v>0</v>
      </c>
      <c r="AF59" s="83">
        <v>0</v>
      </c>
      <c r="AG59" s="33">
        <f>AI58*(((1+Dashboard!$C$21)^(1/30))-1)</f>
        <v>52.585134152812387</v>
      </c>
      <c r="AH59" s="84">
        <v>0</v>
      </c>
      <c r="AI59" s="29">
        <f t="shared" si="12"/>
        <v>102801.44467328934</v>
      </c>
      <c r="AJ59" s="45">
        <f t="shared" si="4"/>
        <v>0</v>
      </c>
      <c r="AL59" s="83">
        <v>0</v>
      </c>
      <c r="AM59" s="22">
        <v>0</v>
      </c>
      <c r="AN59" s="45">
        <f t="shared" si="5"/>
        <v>0</v>
      </c>
    </row>
    <row r="60" spans="2:40" x14ac:dyDescent="0.25">
      <c r="B60" s="53">
        <f>B59*(((1+Dashboard!$C$20)^(1/30)))</f>
        <v>1025523.0218438428</v>
      </c>
      <c r="C60" s="1">
        <v>56</v>
      </c>
      <c r="D60" s="51">
        <f t="shared" si="6"/>
        <v>46229</v>
      </c>
      <c r="E60" s="7">
        <f t="shared" si="7"/>
        <v>9</v>
      </c>
      <c r="F60" s="31">
        <f>E60*Dashboard!$I$3</f>
        <v>15102</v>
      </c>
      <c r="G60" s="18">
        <f>E43*Dashboard!$I$4</f>
        <v>15750</v>
      </c>
      <c r="H60" s="48"/>
      <c r="I60" s="7">
        <f t="shared" si="8"/>
        <v>9</v>
      </c>
      <c r="J60" s="31">
        <f>I60*Dashboard!$I$3</f>
        <v>15102</v>
      </c>
      <c r="K60" s="29">
        <f>I41*Dashboard!$I$4</f>
        <v>15750</v>
      </c>
      <c r="L60" s="48"/>
      <c r="M60" s="7">
        <f t="shared" si="9"/>
        <v>12</v>
      </c>
      <c r="N60" s="31">
        <f>M60*Dashboard!$I$3</f>
        <v>20136</v>
      </c>
      <c r="O60" s="18">
        <f>M39*Dashboard!$I$4</f>
        <v>21000</v>
      </c>
      <c r="P60" s="48"/>
      <c r="Q60" s="32">
        <f t="shared" si="10"/>
        <v>30</v>
      </c>
      <c r="R60" s="31">
        <f t="shared" si="0"/>
        <v>50340</v>
      </c>
      <c r="S60" s="31">
        <f t="shared" si="1"/>
        <v>52500</v>
      </c>
      <c r="T60" s="31">
        <f t="shared" si="13"/>
        <v>2160</v>
      </c>
      <c r="U60" s="31">
        <f>U59-R60+S60+V60-Custos!D60+Z59+AF59+AL59-AB59-AH59-AM59</f>
        <v>22831.872350942973</v>
      </c>
      <c r="V60" s="31">
        <f>U59*(((1+Dashboard!$C$17)^(1/30))-1)</f>
        <v>8.3390835903019251</v>
      </c>
      <c r="W60" s="29">
        <f t="shared" si="2"/>
        <v>73171.872350942969</v>
      </c>
      <c r="X60" s="45">
        <f>-R60+S60-Custos!D60</f>
        <v>656.59999999999991</v>
      </c>
      <c r="Z60" s="83">
        <v>0</v>
      </c>
      <c r="AA60" s="33">
        <f>AC59*(((1+Dashboard!$C$20)^(1/30))-1)</f>
        <v>281.89175037397098</v>
      </c>
      <c r="AB60" s="84">
        <v>0</v>
      </c>
      <c r="AC60" s="18">
        <f t="shared" si="11"/>
        <v>615313.81310630578</v>
      </c>
      <c r="AD60" s="47">
        <f t="shared" si="3"/>
        <v>0</v>
      </c>
      <c r="AF60" s="83">
        <v>0</v>
      </c>
      <c r="AG60" s="33">
        <f>AI59*(((1+Dashboard!$C$21)^(1/30))-1)</f>
        <v>52.612046337981859</v>
      </c>
      <c r="AH60" s="84">
        <v>0</v>
      </c>
      <c r="AI60" s="29">
        <f t="shared" si="12"/>
        <v>102854.05671962732</v>
      </c>
      <c r="AJ60" s="45">
        <f t="shared" si="4"/>
        <v>0</v>
      </c>
      <c r="AL60" s="83">
        <v>0</v>
      </c>
      <c r="AM60" s="22">
        <v>0</v>
      </c>
      <c r="AN60" s="45">
        <f t="shared" si="5"/>
        <v>0</v>
      </c>
    </row>
    <row r="61" spans="2:40" x14ac:dyDescent="0.25">
      <c r="B61" s="53">
        <f>B60*(((1+Dashboard!$C$20)^(1/30)))</f>
        <v>1025993.0567633947</v>
      </c>
      <c r="C61" s="1">
        <v>57</v>
      </c>
      <c r="D61" s="51">
        <f t="shared" si="6"/>
        <v>46230</v>
      </c>
      <c r="E61" s="7">
        <f t="shared" si="7"/>
        <v>9</v>
      </c>
      <c r="F61" s="31">
        <f>E61*Dashboard!$I$3</f>
        <v>15102</v>
      </c>
      <c r="G61" s="18">
        <f>E44*Dashboard!$I$4</f>
        <v>15750</v>
      </c>
      <c r="H61" s="48"/>
      <c r="I61" s="7">
        <f t="shared" si="8"/>
        <v>9</v>
      </c>
      <c r="J61" s="31">
        <f>I61*Dashboard!$I$3</f>
        <v>15102</v>
      </c>
      <c r="K61" s="29">
        <f>I42*Dashboard!$I$4</f>
        <v>15750</v>
      </c>
      <c r="L61" s="48"/>
      <c r="M61" s="7">
        <f t="shared" si="9"/>
        <v>12</v>
      </c>
      <c r="N61" s="31">
        <f>M61*Dashboard!$I$3</f>
        <v>20136</v>
      </c>
      <c r="O61" s="18">
        <f>M40*Dashboard!$I$4</f>
        <v>21000</v>
      </c>
      <c r="P61" s="48"/>
      <c r="Q61" s="32">
        <f t="shared" si="10"/>
        <v>30</v>
      </c>
      <c r="R61" s="31">
        <f t="shared" si="0"/>
        <v>50340</v>
      </c>
      <c r="S61" s="31">
        <f t="shared" si="1"/>
        <v>52500</v>
      </c>
      <c r="T61" s="31">
        <f t="shared" si="13"/>
        <v>2160</v>
      </c>
      <c r="U61" s="31">
        <f>U60-R61+S61+V61-Custos!D61+Z60+AF60+AL60-AB60-AH60-AM60</f>
        <v>23497.061581115737</v>
      </c>
      <c r="V61" s="31">
        <f>U60*(((1+Dashboard!$C$17)^(1/30))-1)</f>
        <v>8.5892301727651343</v>
      </c>
      <c r="W61" s="29">
        <f t="shared" si="2"/>
        <v>73837.061581115733</v>
      </c>
      <c r="X61" s="45">
        <f>-R61+S61-Custos!D61</f>
        <v>656.59999999999991</v>
      </c>
      <c r="Z61" s="83">
        <v>0</v>
      </c>
      <c r="AA61" s="33">
        <f>AC60*(((1+Dashboard!$C$20)^(1/30))-1)</f>
        <v>282.02095173111962</v>
      </c>
      <c r="AB61" s="84">
        <v>0</v>
      </c>
      <c r="AC61" s="18">
        <f t="shared" si="11"/>
        <v>615595.83405803691</v>
      </c>
      <c r="AD61" s="47">
        <f t="shared" si="3"/>
        <v>0</v>
      </c>
      <c r="AF61" s="83">
        <v>0</v>
      </c>
      <c r="AG61" s="33">
        <f>AI60*(((1+Dashboard!$C$21)^(1/30))-1)</f>
        <v>52.638972296354012</v>
      </c>
      <c r="AH61" s="84">
        <v>0</v>
      </c>
      <c r="AI61" s="29">
        <f t="shared" si="12"/>
        <v>102906.69569192367</v>
      </c>
      <c r="AJ61" s="45">
        <f t="shared" si="4"/>
        <v>0</v>
      </c>
      <c r="AL61" s="83">
        <v>0</v>
      </c>
      <c r="AM61" s="22">
        <v>0</v>
      </c>
      <c r="AN61" s="45">
        <f t="shared" si="5"/>
        <v>0</v>
      </c>
    </row>
    <row r="62" spans="2:40" x14ac:dyDescent="0.25">
      <c r="B62" s="53">
        <f>B61*(((1+Dashboard!$C$20)^(1/30)))</f>
        <v>1026463.3071172381</v>
      </c>
      <c r="C62" s="1">
        <v>58</v>
      </c>
      <c r="D62" s="51">
        <f t="shared" si="6"/>
        <v>46231</v>
      </c>
      <c r="E62" s="7">
        <f t="shared" si="7"/>
        <v>9</v>
      </c>
      <c r="F62" s="31">
        <f>E62*Dashboard!$I$3</f>
        <v>15102</v>
      </c>
      <c r="G62" s="18">
        <f>E45*Dashboard!$I$4</f>
        <v>15750</v>
      </c>
      <c r="H62" s="48"/>
      <c r="I62" s="7">
        <f t="shared" si="8"/>
        <v>9</v>
      </c>
      <c r="J62" s="31">
        <f>I62*Dashboard!$I$3</f>
        <v>15102</v>
      </c>
      <c r="K62" s="29">
        <f>I43*Dashboard!$I$4</f>
        <v>15750</v>
      </c>
      <c r="L62" s="48"/>
      <c r="M62" s="7">
        <f t="shared" si="9"/>
        <v>12</v>
      </c>
      <c r="N62" s="31">
        <f>M62*Dashboard!$I$3</f>
        <v>20136</v>
      </c>
      <c r="O62" s="18">
        <f>M41*Dashboard!$I$4</f>
        <v>21000</v>
      </c>
      <c r="P62" s="48"/>
      <c r="Q62" s="32">
        <f t="shared" si="10"/>
        <v>30</v>
      </c>
      <c r="R62" s="31">
        <f t="shared" si="0"/>
        <v>50340</v>
      </c>
      <c r="S62" s="31">
        <f t="shared" si="1"/>
        <v>52500</v>
      </c>
      <c r="T62" s="31">
        <f t="shared" si="13"/>
        <v>2160</v>
      </c>
      <c r="U62" s="31">
        <f>U61-R62+S62+V62-Custos!D62+Z61+AF61+AL61-AB61-AH61-AM61</f>
        <v>24162.501051974792</v>
      </c>
      <c r="V62" s="31">
        <f>U61*(((1+Dashboard!$C$17)^(1/30))-1)</f>
        <v>8.8394708590556892</v>
      </c>
      <c r="W62" s="29">
        <f t="shared" si="2"/>
        <v>74502.501051974788</v>
      </c>
      <c r="X62" s="45">
        <f>-R62+S62-Custos!D62</f>
        <v>656.59999999999991</v>
      </c>
      <c r="Z62" s="83">
        <v>0</v>
      </c>
      <c r="AA62" s="33">
        <f>AC61*(((1+Dashboard!$C$20)^(1/30))-1)</f>
        <v>282.15021230600223</v>
      </c>
      <c r="AB62" s="84">
        <v>0</v>
      </c>
      <c r="AC62" s="18">
        <f t="shared" si="11"/>
        <v>615877.98427034286</v>
      </c>
      <c r="AD62" s="47">
        <f t="shared" si="3"/>
        <v>0</v>
      </c>
      <c r="AF62" s="83">
        <v>0</v>
      </c>
      <c r="AG62" s="33">
        <f>AI61*(((1+Dashboard!$C$21)^(1/30))-1)</f>
        <v>52.66591203497773</v>
      </c>
      <c r="AH62" s="84">
        <v>0</v>
      </c>
      <c r="AI62" s="29">
        <f t="shared" si="12"/>
        <v>102959.36160395865</v>
      </c>
      <c r="AJ62" s="45">
        <f t="shared" si="4"/>
        <v>0</v>
      </c>
      <c r="AL62" s="83">
        <v>0</v>
      </c>
      <c r="AM62" s="22">
        <v>0</v>
      </c>
      <c r="AN62" s="45">
        <f t="shared" si="5"/>
        <v>0</v>
      </c>
    </row>
    <row r="63" spans="2:40" x14ac:dyDescent="0.25">
      <c r="B63" s="53">
        <f>B62*(((1+Dashboard!$C$20)^(1/30)))</f>
        <v>1026933.7730041143</v>
      </c>
      <c r="C63" s="1">
        <v>59</v>
      </c>
      <c r="D63" s="51">
        <f t="shared" si="6"/>
        <v>46232</v>
      </c>
      <c r="E63" s="7">
        <f t="shared" si="7"/>
        <v>9</v>
      </c>
      <c r="F63" s="31">
        <f>E63*Dashboard!$I$3</f>
        <v>15102</v>
      </c>
      <c r="G63" s="18">
        <f>E46*Dashboard!$I$4</f>
        <v>15750</v>
      </c>
      <c r="H63" s="48"/>
      <c r="I63" s="7">
        <f t="shared" si="8"/>
        <v>9</v>
      </c>
      <c r="J63" s="31">
        <f>I63*Dashboard!$I$3</f>
        <v>15102</v>
      </c>
      <c r="K63" s="29">
        <f>I44*Dashboard!$I$4</f>
        <v>15750</v>
      </c>
      <c r="L63" s="48"/>
      <c r="M63" s="7">
        <f t="shared" si="9"/>
        <v>12</v>
      </c>
      <c r="N63" s="31">
        <f>M63*Dashboard!$I$3</f>
        <v>20136</v>
      </c>
      <c r="O63" s="18">
        <f>M42*Dashboard!$I$4</f>
        <v>21000</v>
      </c>
      <c r="P63" s="48"/>
      <c r="Q63" s="32">
        <f t="shared" si="10"/>
        <v>30</v>
      </c>
      <c r="R63" s="31">
        <f t="shared" si="0"/>
        <v>50340</v>
      </c>
      <c r="S63" s="31">
        <f t="shared" si="1"/>
        <v>52500</v>
      </c>
      <c r="T63" s="31">
        <f t="shared" si="13"/>
        <v>2160</v>
      </c>
      <c r="U63" s="31">
        <f>U62-R63+S63+V63-Custos!D63+Z62+AF62+AL62-AB62-AH62-AM62</f>
        <v>24828.190857659367</v>
      </c>
      <c r="V63" s="31">
        <f>U62*(((1+Dashboard!$C$17)^(1/30))-1)</f>
        <v>9.0898056845749551</v>
      </c>
      <c r="W63" s="29">
        <f t="shared" si="2"/>
        <v>75168.190857659371</v>
      </c>
      <c r="X63" s="45">
        <f>-R63+S63-Custos!D63</f>
        <v>656.59999999999991</v>
      </c>
      <c r="Z63" s="83">
        <v>0</v>
      </c>
      <c r="AA63" s="33">
        <f>AC62*(((1+Dashboard!$C$20)^(1/30))-1)</f>
        <v>282.27953212576045</v>
      </c>
      <c r="AB63" s="84">
        <v>0</v>
      </c>
      <c r="AC63" s="18">
        <f t="shared" si="11"/>
        <v>616160.26380246866</v>
      </c>
      <c r="AD63" s="47">
        <f t="shared" si="3"/>
        <v>0</v>
      </c>
      <c r="AF63" s="83">
        <v>0</v>
      </c>
      <c r="AG63" s="33">
        <f>AI62*(((1+Dashboard!$C$21)^(1/30))-1)</f>
        <v>52.692865560905524</v>
      </c>
      <c r="AH63" s="84">
        <v>0</v>
      </c>
      <c r="AI63" s="29">
        <f t="shared" si="12"/>
        <v>103012.05446951956</v>
      </c>
      <c r="AJ63" s="45">
        <f t="shared" si="4"/>
        <v>0</v>
      </c>
      <c r="AL63" s="83">
        <v>0</v>
      </c>
      <c r="AM63" s="22">
        <v>0</v>
      </c>
      <c r="AN63" s="45">
        <f t="shared" si="5"/>
        <v>0</v>
      </c>
    </row>
    <row r="64" spans="2:40" x14ac:dyDescent="0.25">
      <c r="B64" s="53">
        <f>B63*(((1+Dashboard!$C$20)^(1/30)))</f>
        <v>1027404.4545228102</v>
      </c>
      <c r="C64" s="1">
        <v>60</v>
      </c>
      <c r="D64" s="51">
        <f t="shared" si="6"/>
        <v>46233</v>
      </c>
      <c r="E64" s="7">
        <f t="shared" si="7"/>
        <v>9</v>
      </c>
      <c r="F64" s="31">
        <f>E64*Dashboard!$I$3</f>
        <v>15102</v>
      </c>
      <c r="G64" s="18">
        <f>E47*Dashboard!$I$4</f>
        <v>15750</v>
      </c>
      <c r="H64" s="48"/>
      <c r="I64" s="7">
        <f t="shared" si="8"/>
        <v>9</v>
      </c>
      <c r="J64" s="31">
        <f>I64*Dashboard!$I$3</f>
        <v>15102</v>
      </c>
      <c r="K64" s="29">
        <f>I45*Dashboard!$I$4</f>
        <v>15750</v>
      </c>
      <c r="L64" s="48"/>
      <c r="M64" s="7">
        <f t="shared" si="9"/>
        <v>12</v>
      </c>
      <c r="N64" s="31">
        <f>M64*Dashboard!$I$3</f>
        <v>20136</v>
      </c>
      <c r="O64" s="18">
        <f>M43*Dashboard!$I$4</f>
        <v>21000</v>
      </c>
      <c r="P64" s="48"/>
      <c r="Q64" s="32">
        <f t="shared" si="10"/>
        <v>30</v>
      </c>
      <c r="R64" s="31">
        <f t="shared" si="0"/>
        <v>50340</v>
      </c>
      <c r="S64" s="31">
        <f t="shared" si="1"/>
        <v>52500</v>
      </c>
      <c r="T64" s="31">
        <f t="shared" si="13"/>
        <v>2160</v>
      </c>
      <c r="U64" s="31">
        <f>U63-R64+S64+V64-Custos!D64+Z63+AF63+AL63-AB63-AH63-AM63</f>
        <v>25494.131092344101</v>
      </c>
      <c r="V64" s="31">
        <f>U63*(((1+Dashboard!$C$17)^(1/30))-1)</f>
        <v>9.3402346847376148</v>
      </c>
      <c r="W64" s="29">
        <f t="shared" si="2"/>
        <v>75834.131092344105</v>
      </c>
      <c r="X64" s="45">
        <f>-R64+S64-Custos!D64</f>
        <v>656.59999999999991</v>
      </c>
      <c r="Z64" s="83">
        <v>0</v>
      </c>
      <c r="AA64" s="33">
        <f>AC63*(((1+Dashboard!$C$20)^(1/30))-1)</f>
        <v>282.40891121754851</v>
      </c>
      <c r="AB64" s="84">
        <v>0</v>
      </c>
      <c r="AC64" s="18">
        <f t="shared" si="11"/>
        <v>616442.67271368625</v>
      </c>
      <c r="AD64" s="47">
        <f t="shared" si="3"/>
        <v>0</v>
      </c>
      <c r="AF64" s="83">
        <v>0</v>
      </c>
      <c r="AG64" s="33">
        <f>AI63*(((1+Dashboard!$C$21)^(1/30))-1)</f>
        <v>52.719832881193504</v>
      </c>
      <c r="AH64" s="84">
        <v>0</v>
      </c>
      <c r="AI64" s="29">
        <f t="shared" si="12"/>
        <v>103064.77430240075</v>
      </c>
      <c r="AJ64" s="45">
        <f t="shared" si="4"/>
        <v>0</v>
      </c>
      <c r="AL64" s="83">
        <v>0</v>
      </c>
      <c r="AM64" s="22">
        <v>0</v>
      </c>
      <c r="AN64" s="45">
        <f t="shared" si="5"/>
        <v>0</v>
      </c>
    </row>
    <row r="65" spans="2:40" x14ac:dyDescent="0.25">
      <c r="B65" s="53">
        <f>B64*(((1+Dashboard!$C$20)^(1/30)))</f>
        <v>1027875.3517721577</v>
      </c>
      <c r="C65" s="1">
        <v>61</v>
      </c>
      <c r="D65" s="51">
        <f t="shared" si="6"/>
        <v>46234</v>
      </c>
      <c r="E65" s="7">
        <f t="shared" si="7"/>
        <v>9</v>
      </c>
      <c r="F65" s="31">
        <f>E65*Dashboard!$I$3</f>
        <v>15102</v>
      </c>
      <c r="G65" s="18">
        <f>E48*Dashboard!$I$4</f>
        <v>15750</v>
      </c>
      <c r="H65" s="48"/>
      <c r="I65" s="7">
        <f t="shared" si="8"/>
        <v>9</v>
      </c>
      <c r="J65" s="31">
        <f>I65*Dashboard!$I$3</f>
        <v>15102</v>
      </c>
      <c r="K65" s="29">
        <f>I46*Dashboard!$I$4</f>
        <v>15750</v>
      </c>
      <c r="L65" s="48"/>
      <c r="M65" s="7">
        <f t="shared" si="9"/>
        <v>12</v>
      </c>
      <c r="N65" s="31">
        <f>M65*Dashboard!$I$3</f>
        <v>20136</v>
      </c>
      <c r="O65" s="18">
        <f>M44*Dashboard!$I$4</f>
        <v>21000</v>
      </c>
      <c r="P65" s="48"/>
      <c r="Q65" s="32">
        <f t="shared" si="10"/>
        <v>30</v>
      </c>
      <c r="R65" s="31">
        <f t="shared" si="0"/>
        <v>50340</v>
      </c>
      <c r="S65" s="31">
        <f t="shared" si="1"/>
        <v>52500</v>
      </c>
      <c r="T65" s="31">
        <f t="shared" si="13"/>
        <v>2160</v>
      </c>
      <c r="U65" s="31">
        <f>U64-R65+S65+V65-Custos!D65+Z64+AF64+AL64-AB64-AH64-AM64</f>
        <v>26160.32185023907</v>
      </c>
      <c r="V65" s="31">
        <f>U64*(((1+Dashboard!$C$17)^(1/30))-1)</f>
        <v>9.5907578949716701</v>
      </c>
      <c r="W65" s="29">
        <f t="shared" si="2"/>
        <v>76500.321850239066</v>
      </c>
      <c r="X65" s="45">
        <f>-R65+S65-Custos!D65</f>
        <v>656.59999999999991</v>
      </c>
      <c r="Z65" s="83">
        <v>0</v>
      </c>
      <c r="AA65" s="33">
        <f>AC64*(((1+Dashboard!$C$20)^(1/30))-1)</f>
        <v>282.53834960853288</v>
      </c>
      <c r="AB65" s="84">
        <v>0</v>
      </c>
      <c r="AC65" s="18">
        <f t="shared" si="11"/>
        <v>616725.21106329479</v>
      </c>
      <c r="AD65" s="47">
        <f t="shared" si="3"/>
        <v>0</v>
      </c>
      <c r="AF65" s="83">
        <v>0</v>
      </c>
      <c r="AG65" s="33">
        <f>AI64*(((1+Dashboard!$C$21)^(1/30))-1)</f>
        <v>52.746814002901388</v>
      </c>
      <c r="AH65" s="84">
        <v>0</v>
      </c>
      <c r="AI65" s="29">
        <f t="shared" si="12"/>
        <v>103117.52111640366</v>
      </c>
      <c r="AJ65" s="45">
        <f t="shared" si="4"/>
        <v>0</v>
      </c>
      <c r="AL65" s="83">
        <v>0</v>
      </c>
      <c r="AM65" s="22">
        <v>0</v>
      </c>
      <c r="AN65" s="45">
        <f t="shared" si="5"/>
        <v>0</v>
      </c>
    </row>
    <row r="66" spans="2:40" x14ac:dyDescent="0.25">
      <c r="B66" s="53">
        <f>B65*(((1+Dashboard!$C$20)^(1/30)))</f>
        <v>1028346.4648510342</v>
      </c>
      <c r="C66" s="1">
        <v>62</v>
      </c>
      <c r="D66" s="51">
        <f t="shared" si="6"/>
        <v>46235</v>
      </c>
      <c r="E66" s="7">
        <f t="shared" si="7"/>
        <v>9</v>
      </c>
      <c r="F66" s="31">
        <f>E66*Dashboard!$I$3</f>
        <v>15102</v>
      </c>
      <c r="G66" s="18">
        <f>E49*Dashboard!$I$4</f>
        <v>15750</v>
      </c>
      <c r="H66" s="48"/>
      <c r="I66" s="7">
        <f t="shared" si="8"/>
        <v>9</v>
      </c>
      <c r="J66" s="31">
        <f>I66*Dashboard!$I$3</f>
        <v>15102</v>
      </c>
      <c r="K66" s="29">
        <f>I47*Dashboard!$I$4</f>
        <v>15750</v>
      </c>
      <c r="L66" s="48"/>
      <c r="M66" s="7">
        <f t="shared" si="9"/>
        <v>12</v>
      </c>
      <c r="N66" s="31">
        <f>M66*Dashboard!$I$3</f>
        <v>20136</v>
      </c>
      <c r="O66" s="18">
        <f>M45*Dashboard!$I$4</f>
        <v>21000</v>
      </c>
      <c r="P66" s="48"/>
      <c r="Q66" s="32">
        <f t="shared" si="10"/>
        <v>30</v>
      </c>
      <c r="R66" s="31">
        <f t="shared" si="0"/>
        <v>50340</v>
      </c>
      <c r="S66" s="31">
        <f t="shared" si="1"/>
        <v>52500</v>
      </c>
      <c r="T66" s="31">
        <f t="shared" si="13"/>
        <v>2160</v>
      </c>
      <c r="U66" s="31">
        <f>U65-R66+S66+V66-Custos!D66+Z65+AF65+AL65-AB65-AH65-AM65</f>
        <v>26826.763225589788</v>
      </c>
      <c r="V66" s="31">
        <f>U65*(((1+Dashboard!$C$17)^(1/30))-1)</f>
        <v>9.8413753507184563</v>
      </c>
      <c r="W66" s="29">
        <f t="shared" si="2"/>
        <v>77166.763225589792</v>
      </c>
      <c r="X66" s="45">
        <f>-R66+S66-Custos!D66</f>
        <v>656.59999999999991</v>
      </c>
      <c r="Z66" s="83">
        <v>0</v>
      </c>
      <c r="AA66" s="33">
        <f>AC65*(((1+Dashboard!$C$20)^(1/30))-1)</f>
        <v>282.66784732589252</v>
      </c>
      <c r="AB66" s="84">
        <v>0</v>
      </c>
      <c r="AC66" s="18">
        <f t="shared" si="11"/>
        <v>617007.8789106207</v>
      </c>
      <c r="AD66" s="47">
        <f t="shared" si="3"/>
        <v>0</v>
      </c>
      <c r="AF66" s="83">
        <v>0</v>
      </c>
      <c r="AG66" s="33">
        <f>AI65*(((1+Dashboard!$C$21)^(1/30))-1)</f>
        <v>52.773808933092511</v>
      </c>
      <c r="AH66" s="84">
        <v>0</v>
      </c>
      <c r="AI66" s="29">
        <f t="shared" si="12"/>
        <v>103170.29492533676</v>
      </c>
      <c r="AJ66" s="45">
        <f t="shared" si="4"/>
        <v>0</v>
      </c>
      <c r="AL66" s="83">
        <v>0</v>
      </c>
      <c r="AM66" s="22">
        <v>0</v>
      </c>
      <c r="AN66" s="45">
        <f t="shared" si="5"/>
        <v>0</v>
      </c>
    </row>
    <row r="67" spans="2:40" x14ac:dyDescent="0.25">
      <c r="B67" s="53">
        <f>B66*(((1+Dashboard!$C$20)^(1/30)))</f>
        <v>1028817.7938583622</v>
      </c>
      <c r="C67" s="1">
        <v>63</v>
      </c>
      <c r="D67" s="51">
        <f t="shared" si="6"/>
        <v>46236</v>
      </c>
      <c r="E67" s="7">
        <f t="shared" si="7"/>
        <v>9</v>
      </c>
      <c r="F67" s="31">
        <f>E67*Dashboard!$I$3</f>
        <v>15102</v>
      </c>
      <c r="G67" s="18">
        <f>E50*Dashboard!$I$4</f>
        <v>15750</v>
      </c>
      <c r="H67" s="48"/>
      <c r="I67" s="7">
        <f t="shared" si="8"/>
        <v>9</v>
      </c>
      <c r="J67" s="31">
        <f>I67*Dashboard!$I$3</f>
        <v>15102</v>
      </c>
      <c r="K67" s="29">
        <f>I48*Dashboard!$I$4</f>
        <v>15750</v>
      </c>
      <c r="L67" s="48"/>
      <c r="M67" s="7">
        <f t="shared" si="9"/>
        <v>12</v>
      </c>
      <c r="N67" s="31">
        <f>M67*Dashboard!$I$3</f>
        <v>20136</v>
      </c>
      <c r="O67" s="18">
        <f>M46*Dashboard!$I$4</f>
        <v>21000</v>
      </c>
      <c r="P67" s="48"/>
      <c r="Q67" s="32">
        <f t="shared" si="10"/>
        <v>30</v>
      </c>
      <c r="R67" s="31">
        <f t="shared" si="0"/>
        <v>50340</v>
      </c>
      <c r="S67" s="31">
        <f t="shared" si="1"/>
        <v>52500</v>
      </c>
      <c r="T67" s="31">
        <f t="shared" si="13"/>
        <v>2160</v>
      </c>
      <c r="U67" s="31">
        <f>U66-R67+S67+V67-Custos!D67+Z66+AF66+AL66-AB66-AH66-AM66</f>
        <v>27493.455312677219</v>
      </c>
      <c r="V67" s="31">
        <f>U66*(((1+Dashboard!$C$17)^(1/30))-1)</f>
        <v>10.092087087432642</v>
      </c>
      <c r="W67" s="29">
        <f t="shared" si="2"/>
        <v>77833.455312677223</v>
      </c>
      <c r="X67" s="45">
        <f>-R67+S67-Custos!D67</f>
        <v>656.59999999999991</v>
      </c>
      <c r="Z67" s="83">
        <v>0</v>
      </c>
      <c r="AA67" s="33">
        <f>AC66*(((1+Dashboard!$C$20)^(1/30))-1)</f>
        <v>282.79740439681899</v>
      </c>
      <c r="AB67" s="84">
        <v>0</v>
      </c>
      <c r="AC67" s="18">
        <f t="shared" si="11"/>
        <v>617290.67631501751</v>
      </c>
      <c r="AD67" s="47">
        <f t="shared" si="3"/>
        <v>0</v>
      </c>
      <c r="AF67" s="83">
        <v>0</v>
      </c>
      <c r="AG67" s="33">
        <f>AI66*(((1+Dashboard!$C$21)^(1/30))-1)</f>
        <v>52.800817678833816</v>
      </c>
      <c r="AH67" s="84">
        <v>0</v>
      </c>
      <c r="AI67" s="29">
        <f t="shared" si="12"/>
        <v>103223.09574301558</v>
      </c>
      <c r="AJ67" s="45">
        <f t="shared" si="4"/>
        <v>0</v>
      </c>
      <c r="AL67" s="83">
        <v>0</v>
      </c>
      <c r="AM67" s="22">
        <v>0</v>
      </c>
      <c r="AN67" s="45">
        <f t="shared" si="5"/>
        <v>0</v>
      </c>
    </row>
    <row r="68" spans="2:40" x14ac:dyDescent="0.25">
      <c r="B68" s="53">
        <f>B67*(((1+Dashboard!$C$20)^(1/30)))</f>
        <v>1029289.3388931098</v>
      </c>
      <c r="C68" s="1">
        <v>64</v>
      </c>
      <c r="D68" s="51">
        <f t="shared" si="6"/>
        <v>46237</v>
      </c>
      <c r="E68" s="7">
        <f t="shared" si="7"/>
        <v>9</v>
      </c>
      <c r="F68" s="31">
        <f>E68*Dashboard!$I$3</f>
        <v>15102</v>
      </c>
      <c r="G68" s="18">
        <f>E51*Dashboard!$I$4</f>
        <v>15750</v>
      </c>
      <c r="H68" s="48"/>
      <c r="I68" s="7">
        <f t="shared" si="8"/>
        <v>9</v>
      </c>
      <c r="J68" s="31">
        <f>I68*Dashboard!$I$3</f>
        <v>15102</v>
      </c>
      <c r="K68" s="29">
        <f>I49*Dashboard!$I$4</f>
        <v>15750</v>
      </c>
      <c r="L68" s="48"/>
      <c r="M68" s="7">
        <f t="shared" si="9"/>
        <v>12</v>
      </c>
      <c r="N68" s="31">
        <f>M68*Dashboard!$I$3</f>
        <v>20136</v>
      </c>
      <c r="O68" s="18">
        <f>M47*Dashboard!$I$4</f>
        <v>21000</v>
      </c>
      <c r="P68" s="48"/>
      <c r="Q68" s="32">
        <f t="shared" si="10"/>
        <v>30</v>
      </c>
      <c r="R68" s="31">
        <f t="shared" si="0"/>
        <v>50340</v>
      </c>
      <c r="S68" s="31">
        <f t="shared" si="1"/>
        <v>52500</v>
      </c>
      <c r="T68" s="31">
        <f t="shared" si="13"/>
        <v>2160</v>
      </c>
      <c r="U68" s="31">
        <f>U67-R68+S68+V68-Custos!D68+Z67+AF67+AL67-AB67-AH67-AM67</f>
        <v>28160.398205817801</v>
      </c>
      <c r="V68" s="31">
        <f>U67*(((1+Dashboard!$C$17)^(1/30))-1)</f>
        <v>10.342893140582225</v>
      </c>
      <c r="W68" s="29">
        <f t="shared" si="2"/>
        <v>78500.398205817793</v>
      </c>
      <c r="X68" s="45">
        <f>-R68+S68-Custos!D68</f>
        <v>656.59999999999991</v>
      </c>
      <c r="Z68" s="83">
        <v>0</v>
      </c>
      <c r="AA68" s="33">
        <f>AC67*(((1+Dashboard!$C$20)^(1/30))-1)</f>
        <v>282.92702084851612</v>
      </c>
      <c r="AB68" s="84">
        <v>0</v>
      </c>
      <c r="AC68" s="18">
        <f t="shared" si="11"/>
        <v>617573.60333586601</v>
      </c>
      <c r="AD68" s="47">
        <f t="shared" si="3"/>
        <v>0</v>
      </c>
      <c r="AF68" s="83">
        <v>0</v>
      </c>
      <c r="AG68" s="33">
        <f>AI67*(((1+Dashboard!$C$21)^(1/30))-1)</f>
        <v>52.827840247195866</v>
      </c>
      <c r="AH68" s="84">
        <v>0</v>
      </c>
      <c r="AI68" s="29">
        <f t="shared" si="12"/>
        <v>103275.92358326277</v>
      </c>
      <c r="AJ68" s="45">
        <f t="shared" si="4"/>
        <v>0</v>
      </c>
      <c r="AL68" s="83">
        <v>0</v>
      </c>
      <c r="AM68" s="22">
        <v>0</v>
      </c>
      <c r="AN68" s="45">
        <f t="shared" si="5"/>
        <v>0</v>
      </c>
    </row>
    <row r="69" spans="2:40" x14ac:dyDescent="0.25">
      <c r="B69" s="53">
        <f>B68*(((1+Dashboard!$C$20)^(1/30)))</f>
        <v>1029761.1000542901</v>
      </c>
      <c r="C69" s="1">
        <v>65</v>
      </c>
      <c r="D69" s="51">
        <f t="shared" si="6"/>
        <v>46238</v>
      </c>
      <c r="E69" s="7">
        <f t="shared" si="7"/>
        <v>9</v>
      </c>
      <c r="F69" s="31">
        <f>E69*Dashboard!$I$3</f>
        <v>15102</v>
      </c>
      <c r="G69" s="18">
        <f>E52*Dashboard!$I$4</f>
        <v>15750</v>
      </c>
      <c r="H69" s="48"/>
      <c r="I69" s="7">
        <f t="shared" si="8"/>
        <v>9</v>
      </c>
      <c r="J69" s="31">
        <f>I69*Dashboard!$I$3</f>
        <v>15102</v>
      </c>
      <c r="K69" s="29">
        <f>I50*Dashboard!$I$4</f>
        <v>15750</v>
      </c>
      <c r="L69" s="48"/>
      <c r="M69" s="7">
        <f t="shared" si="9"/>
        <v>12</v>
      </c>
      <c r="N69" s="31">
        <f>M69*Dashboard!$I$3</f>
        <v>20136</v>
      </c>
      <c r="O69" s="18">
        <f>M48*Dashboard!$I$4</f>
        <v>21000</v>
      </c>
      <c r="P69" s="48"/>
      <c r="Q69" s="32">
        <f t="shared" si="10"/>
        <v>30</v>
      </c>
      <c r="R69" s="31">
        <f t="shared" si="0"/>
        <v>50340</v>
      </c>
      <c r="S69" s="31">
        <f t="shared" si="1"/>
        <v>52500</v>
      </c>
      <c r="T69" s="31">
        <f t="shared" si="13"/>
        <v>2160</v>
      </c>
      <c r="U69" s="31">
        <f>U68-R69+S69+V69-Custos!D69+Z68+AF68+AL68-AB68-AH68-AM68</f>
        <v>28827.591999363449</v>
      </c>
      <c r="V69" s="31">
        <f>U68*(((1+Dashboard!$C$17)^(1/30))-1)</f>
        <v>10.593793545648557</v>
      </c>
      <c r="W69" s="29">
        <f t="shared" si="2"/>
        <v>79167.591999363445</v>
      </c>
      <c r="X69" s="45">
        <f>-R69+S69-Custos!D69</f>
        <v>656.59999999999991</v>
      </c>
      <c r="Z69" s="83">
        <v>0</v>
      </c>
      <c r="AA69" s="33">
        <f>AC68*(((1+Dashboard!$C$20)^(1/30))-1)</f>
        <v>283.05669670820038</v>
      </c>
      <c r="AB69" s="84">
        <v>0</v>
      </c>
      <c r="AC69" s="18">
        <f t="shared" si="11"/>
        <v>617856.6600325742</v>
      </c>
      <c r="AD69" s="47">
        <f t="shared" si="3"/>
        <v>0</v>
      </c>
      <c r="AF69" s="83">
        <v>0</v>
      </c>
      <c r="AG69" s="33">
        <f>AI68*(((1+Dashboard!$C$21)^(1/30))-1)</f>
        <v>52.854876645252858</v>
      </c>
      <c r="AH69" s="84">
        <v>0</v>
      </c>
      <c r="AI69" s="29">
        <f t="shared" si="12"/>
        <v>103328.77845990803</v>
      </c>
      <c r="AJ69" s="45">
        <f t="shared" si="4"/>
        <v>0</v>
      </c>
      <c r="AL69" s="83">
        <v>0</v>
      </c>
      <c r="AM69" s="22">
        <v>0</v>
      </c>
      <c r="AN69" s="45">
        <f t="shared" si="5"/>
        <v>0</v>
      </c>
    </row>
    <row r="70" spans="2:40" x14ac:dyDescent="0.25">
      <c r="B70" s="53">
        <f>B69*(((1+Dashboard!$C$20)^(1/30)))</f>
        <v>1030233.077440962</v>
      </c>
      <c r="C70" s="1">
        <v>66</v>
      </c>
      <c r="D70" s="51">
        <f t="shared" si="6"/>
        <v>46239</v>
      </c>
      <c r="E70" s="7">
        <f t="shared" si="7"/>
        <v>9</v>
      </c>
      <c r="F70" s="31">
        <f>E70*Dashboard!$I$3</f>
        <v>15102</v>
      </c>
      <c r="G70" s="18">
        <f>E53*Dashboard!$I$4</f>
        <v>15750</v>
      </c>
      <c r="H70" s="48"/>
      <c r="I70" s="7">
        <f t="shared" si="8"/>
        <v>9</v>
      </c>
      <c r="J70" s="31">
        <f>I70*Dashboard!$I$3</f>
        <v>15102</v>
      </c>
      <c r="K70" s="29">
        <f>I51*Dashboard!$I$4</f>
        <v>15750</v>
      </c>
      <c r="L70" s="48"/>
      <c r="M70" s="7">
        <f t="shared" si="9"/>
        <v>12</v>
      </c>
      <c r="N70" s="31">
        <f>M70*Dashboard!$I$3</f>
        <v>20136</v>
      </c>
      <c r="O70" s="18">
        <f>M49*Dashboard!$I$4</f>
        <v>21000</v>
      </c>
      <c r="P70" s="48"/>
      <c r="Q70" s="32">
        <f t="shared" si="10"/>
        <v>30</v>
      </c>
      <c r="R70" s="31">
        <f t="shared" ref="R70:R127" si="14">F70+J70+N70</f>
        <v>50340</v>
      </c>
      <c r="S70" s="31">
        <f t="shared" ref="S70:S127" si="15">G70+K70+O70</f>
        <v>52500</v>
      </c>
      <c r="T70" s="31">
        <f t="shared" si="13"/>
        <v>2160</v>
      </c>
      <c r="U70" s="31">
        <f>U69-R70+S70+V70-Custos!D70+Z69+AF69+AL69-AB69-AH69-AM69</f>
        <v>29495.036787701574</v>
      </c>
      <c r="V70" s="31">
        <f>U69*(((1+Dashboard!$C$17)^(1/30))-1)</f>
        <v>10.844788338126328</v>
      </c>
      <c r="W70" s="29">
        <f t="shared" ref="W70:W127" si="16">U70+R70</f>
        <v>79835.036787701567</v>
      </c>
      <c r="X70" s="45">
        <f>-R70+S70-Custos!D70</f>
        <v>656.59999999999991</v>
      </c>
      <c r="Z70" s="83">
        <v>0</v>
      </c>
      <c r="AA70" s="33">
        <f>AC69*(((1+Dashboard!$C$20)^(1/30))-1)</f>
        <v>283.18643200310055</v>
      </c>
      <c r="AB70" s="84">
        <v>0</v>
      </c>
      <c r="AC70" s="18">
        <f t="shared" si="11"/>
        <v>618139.84646457725</v>
      </c>
      <c r="AD70" s="47">
        <f t="shared" ref="AD70:AD127" si="17">-Z70+AB70</f>
        <v>0</v>
      </c>
      <c r="AF70" s="83">
        <v>0</v>
      </c>
      <c r="AG70" s="33">
        <f>AI69*(((1+Dashboard!$C$21)^(1/30))-1)</f>
        <v>52.881926880082595</v>
      </c>
      <c r="AH70" s="84">
        <v>0</v>
      </c>
      <c r="AI70" s="29">
        <f t="shared" si="12"/>
        <v>103381.66038678812</v>
      </c>
      <c r="AJ70" s="45">
        <f t="shared" ref="AJ70:AJ127" si="18">-AF70+AH70</f>
        <v>0</v>
      </c>
      <c r="AL70" s="83">
        <v>0</v>
      </c>
      <c r="AM70" s="22">
        <v>0</v>
      </c>
      <c r="AN70" s="45">
        <f t="shared" ref="AN70:AN126" si="19">-AL70+AM70</f>
        <v>0</v>
      </c>
    </row>
    <row r="71" spans="2:40" x14ac:dyDescent="0.25">
      <c r="B71" s="53">
        <f>B70*(((1+Dashboard!$C$20)^(1/30)))</f>
        <v>1030705.2711522294</v>
      </c>
      <c r="C71" s="1">
        <v>67</v>
      </c>
      <c r="D71" s="51">
        <f t="shared" ref="D71:D134" si="20">D70+1</f>
        <v>46240</v>
      </c>
      <c r="E71" s="7">
        <f t="shared" ref="E71:E134" si="21">E70</f>
        <v>9</v>
      </c>
      <c r="F71" s="31">
        <f>E71*Dashboard!$I$3</f>
        <v>15102</v>
      </c>
      <c r="G71" s="18">
        <f>E54*Dashboard!$I$4</f>
        <v>15750</v>
      </c>
      <c r="H71" s="48"/>
      <c r="I71" s="7">
        <f t="shared" ref="I71:I134" si="22">I70</f>
        <v>9</v>
      </c>
      <c r="J71" s="31">
        <f>I71*Dashboard!$I$3</f>
        <v>15102</v>
      </c>
      <c r="K71" s="29">
        <f>I52*Dashboard!$I$4</f>
        <v>15750</v>
      </c>
      <c r="L71" s="48"/>
      <c r="M71" s="7">
        <f t="shared" ref="M71:M134" si="23">M70</f>
        <v>12</v>
      </c>
      <c r="N71" s="31">
        <f>M71*Dashboard!$I$3</f>
        <v>20136</v>
      </c>
      <c r="O71" s="18">
        <f>M50*Dashboard!$I$4</f>
        <v>21000</v>
      </c>
      <c r="P71" s="48"/>
      <c r="Q71" s="32">
        <f t="shared" ref="Q71:Q106" si="24">Q70</f>
        <v>30</v>
      </c>
      <c r="R71" s="31">
        <f t="shared" si="14"/>
        <v>50340</v>
      </c>
      <c r="S71" s="31">
        <f t="shared" si="15"/>
        <v>52500</v>
      </c>
      <c r="T71" s="31">
        <f t="shared" si="13"/>
        <v>2160</v>
      </c>
      <c r="U71" s="31">
        <f>U70-R71+S71+V71-Custos!D71+Z70+AF70+AL70-AB70-AH70-AM70</f>
        <v>30162.732665255095</v>
      </c>
      <c r="V71" s="31">
        <f>U70*(((1+Dashboard!$C$17)^(1/30))-1)</f>
        <v>11.095877553523588</v>
      </c>
      <c r="W71" s="29">
        <f t="shared" si="16"/>
        <v>80502.732665255098</v>
      </c>
      <c r="X71" s="45">
        <f>-R71+S71-Custos!D71</f>
        <v>656.59999999999991</v>
      </c>
      <c r="Z71" s="83">
        <v>0</v>
      </c>
      <c r="AA71" s="33">
        <f>AC70*(((1+Dashboard!$C$20)^(1/30))-1)</f>
        <v>283.31622676045805</v>
      </c>
      <c r="AB71" s="84">
        <v>0</v>
      </c>
      <c r="AC71" s="18">
        <f t="shared" ref="AC71:AC134" si="25">AC70+AA71-AB70+Z71</f>
        <v>618423.16269133775</v>
      </c>
      <c r="AD71" s="47">
        <f t="shared" si="17"/>
        <v>0</v>
      </c>
      <c r="AF71" s="83">
        <v>0</v>
      </c>
      <c r="AG71" s="33">
        <f>AI70*(((1+Dashboard!$C$21)^(1/30))-1)</f>
        <v>52.908990958766502</v>
      </c>
      <c r="AH71" s="84">
        <v>0</v>
      </c>
      <c r="AI71" s="29">
        <f t="shared" ref="AI71:AI134" si="26">AI70+AG71-AH70+AF71</f>
        <v>103434.56937774688</v>
      </c>
      <c r="AJ71" s="45">
        <f t="shared" si="18"/>
        <v>0</v>
      </c>
      <c r="AL71" s="83">
        <v>0</v>
      </c>
      <c r="AM71" s="22">
        <v>0</v>
      </c>
      <c r="AN71" s="45">
        <f t="shared" si="19"/>
        <v>0</v>
      </c>
    </row>
    <row r="72" spans="2:40" x14ac:dyDescent="0.25">
      <c r="B72" s="53">
        <f>B71*(((1+Dashboard!$C$20)^(1/30)))</f>
        <v>1031177.681287242</v>
      </c>
      <c r="C72" s="1">
        <v>68</v>
      </c>
      <c r="D72" s="51">
        <f t="shared" si="20"/>
        <v>46241</v>
      </c>
      <c r="E72" s="7">
        <f t="shared" si="21"/>
        <v>9</v>
      </c>
      <c r="F72" s="31">
        <f>E72*Dashboard!$I$3</f>
        <v>15102</v>
      </c>
      <c r="G72" s="18">
        <f>E55*Dashboard!$I$4</f>
        <v>15750</v>
      </c>
      <c r="H72" s="48"/>
      <c r="I72" s="7">
        <f t="shared" si="22"/>
        <v>9</v>
      </c>
      <c r="J72" s="31">
        <f>I72*Dashboard!$I$3</f>
        <v>15102</v>
      </c>
      <c r="K72" s="29">
        <f>I53*Dashboard!$I$4</f>
        <v>15750</v>
      </c>
      <c r="L72" s="48"/>
      <c r="M72" s="7">
        <f t="shared" si="23"/>
        <v>12</v>
      </c>
      <c r="N72" s="31">
        <f>M72*Dashboard!$I$3</f>
        <v>20136</v>
      </c>
      <c r="O72" s="18">
        <f>M51*Dashboard!$I$4</f>
        <v>21000</v>
      </c>
      <c r="P72" s="48"/>
      <c r="Q72" s="32">
        <f t="shared" si="24"/>
        <v>30</v>
      </c>
      <c r="R72" s="31">
        <f t="shared" si="14"/>
        <v>50340</v>
      </c>
      <c r="S72" s="31">
        <f t="shared" si="15"/>
        <v>52500</v>
      </c>
      <c r="T72" s="31">
        <f t="shared" si="13"/>
        <v>2160</v>
      </c>
      <c r="U72" s="31">
        <f>U71-R72+S72+V72-Custos!D72+Z71+AF71+AL71-AB71-AH71-AM71</f>
        <v>30830.679726482456</v>
      </c>
      <c r="V72" s="31">
        <f>U71*(((1+Dashboard!$C$17)^(1/30))-1)</f>
        <v>11.34706122736174</v>
      </c>
      <c r="W72" s="29">
        <f t="shared" si="16"/>
        <v>81170.679726482456</v>
      </c>
      <c r="X72" s="45">
        <f>-R72+S72-Custos!D72</f>
        <v>656.59999999999991</v>
      </c>
      <c r="Z72" s="83">
        <v>0</v>
      </c>
      <c r="AA72" s="33">
        <f>AC71*(((1+Dashboard!$C$20)^(1/30))-1)</f>
        <v>283.44608100752669</v>
      </c>
      <c r="AB72" s="84">
        <v>0</v>
      </c>
      <c r="AC72" s="18">
        <f t="shared" si="25"/>
        <v>618706.60877234524</v>
      </c>
      <c r="AD72" s="47">
        <f t="shared" si="17"/>
        <v>0</v>
      </c>
      <c r="AF72" s="83">
        <v>0</v>
      </c>
      <c r="AG72" s="33">
        <f>AI71*(((1+Dashboard!$C$21)^(1/30))-1)</f>
        <v>52.93606888838962</v>
      </c>
      <c r="AH72" s="84">
        <v>0</v>
      </c>
      <c r="AI72" s="29">
        <f t="shared" si="26"/>
        <v>103487.50544663527</v>
      </c>
      <c r="AJ72" s="45">
        <f t="shared" si="18"/>
        <v>0</v>
      </c>
      <c r="AL72" s="83">
        <v>0</v>
      </c>
      <c r="AM72" s="22">
        <v>0</v>
      </c>
      <c r="AN72" s="45">
        <f t="shared" si="19"/>
        <v>0</v>
      </c>
    </row>
    <row r="73" spans="2:40" x14ac:dyDescent="0.25">
      <c r="B73" s="53">
        <f>B72*(((1+Dashboard!$C$20)^(1/30)))</f>
        <v>1031650.3079451947</v>
      </c>
      <c r="C73" s="1">
        <v>69</v>
      </c>
      <c r="D73" s="51">
        <f t="shared" si="20"/>
        <v>46242</v>
      </c>
      <c r="E73" s="7">
        <f t="shared" si="21"/>
        <v>9</v>
      </c>
      <c r="F73" s="31">
        <f>E73*Dashboard!$I$3</f>
        <v>15102</v>
      </c>
      <c r="G73" s="18">
        <f>E56*Dashboard!$I$4</f>
        <v>15750</v>
      </c>
      <c r="H73" s="48"/>
      <c r="I73" s="7">
        <f t="shared" si="22"/>
        <v>9</v>
      </c>
      <c r="J73" s="31">
        <f>I73*Dashboard!$I$3</f>
        <v>15102</v>
      </c>
      <c r="K73" s="29">
        <f>I54*Dashboard!$I$4</f>
        <v>15750</v>
      </c>
      <c r="L73" s="48"/>
      <c r="M73" s="7">
        <f t="shared" si="23"/>
        <v>12</v>
      </c>
      <c r="N73" s="31">
        <f>M73*Dashboard!$I$3</f>
        <v>20136</v>
      </c>
      <c r="O73" s="18">
        <f>M52*Dashboard!$I$4</f>
        <v>21000</v>
      </c>
      <c r="P73" s="48"/>
      <c r="Q73" s="32">
        <f t="shared" si="24"/>
        <v>30</v>
      </c>
      <c r="R73" s="31">
        <f t="shared" si="14"/>
        <v>50340</v>
      </c>
      <c r="S73" s="31">
        <f t="shared" si="15"/>
        <v>52500</v>
      </c>
      <c r="T73" s="31">
        <f t="shared" si="13"/>
        <v>2160</v>
      </c>
      <c r="U73" s="31">
        <f>U72-R73+S73+V73-Custos!D73+Z72+AF72+AL72-AB72-AH72-AM72</f>
        <v>31498.87806587763</v>
      </c>
      <c r="V73" s="31">
        <f>U72*(((1+Dashboard!$C$17)^(1/30))-1)</f>
        <v>11.598339395175556</v>
      </c>
      <c r="W73" s="29">
        <f t="shared" si="16"/>
        <v>81838.878065877623</v>
      </c>
      <c r="X73" s="45">
        <f>-R73+S73-Custos!D73</f>
        <v>656.59999999999991</v>
      </c>
      <c r="Z73" s="83">
        <v>0</v>
      </c>
      <c r="AA73" s="33">
        <f>AC72*(((1+Dashboard!$C$20)^(1/30))-1)</f>
        <v>283.57599477157277</v>
      </c>
      <c r="AB73" s="84">
        <v>0</v>
      </c>
      <c r="AC73" s="18">
        <f t="shared" si="25"/>
        <v>618990.18476711679</v>
      </c>
      <c r="AD73" s="47">
        <f t="shared" si="17"/>
        <v>0</v>
      </c>
      <c r="AF73" s="83">
        <v>0</v>
      </c>
      <c r="AG73" s="33">
        <f>AI72*(((1+Dashboard!$C$21)^(1/30))-1)</f>
        <v>52.963160676040637</v>
      </c>
      <c r="AH73" s="84">
        <v>0</v>
      </c>
      <c r="AI73" s="29">
        <f t="shared" si="26"/>
        <v>103540.46860731131</v>
      </c>
      <c r="AJ73" s="45">
        <f t="shared" si="18"/>
        <v>0</v>
      </c>
      <c r="AL73" s="83">
        <v>0</v>
      </c>
      <c r="AM73" s="22">
        <v>0</v>
      </c>
      <c r="AN73" s="45">
        <f t="shared" si="19"/>
        <v>0</v>
      </c>
    </row>
    <row r="74" spans="2:40" x14ac:dyDescent="0.25">
      <c r="B74" s="53">
        <f>B73*(((1+Dashboard!$C$20)^(1/30)))</f>
        <v>1032123.1512253277</v>
      </c>
      <c r="C74" s="1">
        <v>70</v>
      </c>
      <c r="D74" s="51">
        <f t="shared" si="20"/>
        <v>46243</v>
      </c>
      <c r="E74" s="7">
        <f t="shared" si="21"/>
        <v>9</v>
      </c>
      <c r="F74" s="31">
        <f>E74*Dashboard!$I$3</f>
        <v>15102</v>
      </c>
      <c r="G74" s="18">
        <f>E57*Dashboard!$I$4</f>
        <v>15750</v>
      </c>
      <c r="H74" s="48"/>
      <c r="I74" s="7">
        <f t="shared" si="22"/>
        <v>9</v>
      </c>
      <c r="J74" s="31">
        <f>I74*Dashboard!$I$3</f>
        <v>15102</v>
      </c>
      <c r="K74" s="29">
        <f>I55*Dashboard!$I$4</f>
        <v>15750</v>
      </c>
      <c r="L74" s="48"/>
      <c r="M74" s="7">
        <f t="shared" si="23"/>
        <v>12</v>
      </c>
      <c r="N74" s="31">
        <f>M74*Dashboard!$I$3</f>
        <v>20136</v>
      </c>
      <c r="O74" s="18">
        <f>M53*Dashboard!$I$4</f>
        <v>21000</v>
      </c>
      <c r="P74" s="48"/>
      <c r="Q74" s="32">
        <f t="shared" si="24"/>
        <v>30</v>
      </c>
      <c r="R74" s="31">
        <f t="shared" si="14"/>
        <v>50340</v>
      </c>
      <c r="S74" s="31">
        <f t="shared" si="15"/>
        <v>52500</v>
      </c>
      <c r="T74" s="31">
        <f t="shared" si="13"/>
        <v>2160</v>
      </c>
      <c r="U74" s="31">
        <f>U73-R74+S74+V74-Custos!D74+Z73+AF73+AL73-AB73-AH73-AM73</f>
        <v>32167.327777970146</v>
      </c>
      <c r="V74" s="31">
        <f>U73*(((1+Dashboard!$C$17)^(1/30))-1)</f>
        <v>11.849712092513169</v>
      </c>
      <c r="W74" s="29">
        <f t="shared" si="16"/>
        <v>82507.327777970146</v>
      </c>
      <c r="X74" s="45">
        <f>-R74+S74-Custos!D74</f>
        <v>656.59999999999991</v>
      </c>
      <c r="Z74" s="83">
        <v>0</v>
      </c>
      <c r="AA74" s="33">
        <f>AC73*(((1+Dashboard!$C$20)^(1/30))-1)</f>
        <v>283.70596807987516</v>
      </c>
      <c r="AB74" s="84">
        <v>0</v>
      </c>
      <c r="AC74" s="18">
        <f t="shared" si="25"/>
        <v>619273.89073519665</v>
      </c>
      <c r="AD74" s="47">
        <f t="shared" si="17"/>
        <v>0</v>
      </c>
      <c r="AF74" s="83">
        <v>0</v>
      </c>
      <c r="AG74" s="33">
        <f>AI73*(((1+Dashboard!$C$21)^(1/30))-1)</f>
        <v>52.990266328811856</v>
      </c>
      <c r="AH74" s="84">
        <v>0</v>
      </c>
      <c r="AI74" s="29">
        <f t="shared" si="26"/>
        <v>103593.45887364012</v>
      </c>
      <c r="AJ74" s="45">
        <f t="shared" si="18"/>
        <v>0</v>
      </c>
      <c r="AL74" s="83">
        <v>0</v>
      </c>
      <c r="AM74" s="22">
        <v>0</v>
      </c>
      <c r="AN74" s="45">
        <f t="shared" si="19"/>
        <v>0</v>
      </c>
    </row>
    <row r="75" spans="2:40" x14ac:dyDescent="0.25">
      <c r="B75" s="53">
        <f>B74*(((1+Dashboard!$C$20)^(1/30)))</f>
        <v>1032596.2112269272</v>
      </c>
      <c r="C75" s="1">
        <v>71</v>
      </c>
      <c r="D75" s="51">
        <f t="shared" si="20"/>
        <v>46244</v>
      </c>
      <c r="E75" s="7">
        <f t="shared" si="21"/>
        <v>9</v>
      </c>
      <c r="F75" s="31">
        <f>E75*Dashboard!$I$3</f>
        <v>15102</v>
      </c>
      <c r="G75" s="18">
        <f>E58*Dashboard!$I$4</f>
        <v>15750</v>
      </c>
      <c r="H75" s="48"/>
      <c r="I75" s="7">
        <f t="shared" si="22"/>
        <v>9</v>
      </c>
      <c r="J75" s="31">
        <f>I75*Dashboard!$I$3</f>
        <v>15102</v>
      </c>
      <c r="K75" s="29">
        <f>I56*Dashboard!$I$4</f>
        <v>15750</v>
      </c>
      <c r="L75" s="48"/>
      <c r="M75" s="7">
        <f t="shared" si="23"/>
        <v>12</v>
      </c>
      <c r="N75" s="31">
        <f>M75*Dashboard!$I$3</f>
        <v>20136</v>
      </c>
      <c r="O75" s="18">
        <f>M54*Dashboard!$I$4</f>
        <v>21000</v>
      </c>
      <c r="P75" s="48"/>
      <c r="Q75" s="32">
        <f t="shared" si="24"/>
        <v>30</v>
      </c>
      <c r="R75" s="31">
        <f t="shared" si="14"/>
        <v>50340</v>
      </c>
      <c r="S75" s="31">
        <f t="shared" si="15"/>
        <v>52500</v>
      </c>
      <c r="T75" s="31">
        <f t="shared" si="13"/>
        <v>2160</v>
      </c>
      <c r="U75" s="31">
        <f>U74-R75+S75+V75-Custos!D75+Z74+AF74+AL74-AB74-AH74-AM74</f>
        <v>32836.028957325077</v>
      </c>
      <c r="V75" s="31">
        <f>U74*(((1+Dashboard!$C$17)^(1/30))-1)</f>
        <v>12.10117935493609</v>
      </c>
      <c r="W75" s="29">
        <f t="shared" si="16"/>
        <v>83176.028957325077</v>
      </c>
      <c r="X75" s="45">
        <f>-R75+S75-Custos!D75</f>
        <v>656.59999999999991</v>
      </c>
      <c r="Z75" s="83">
        <v>0</v>
      </c>
      <c r="AA75" s="33">
        <f>AC74*(((1+Dashboard!$C$20)^(1/30))-1)</f>
        <v>283.83600095972514</v>
      </c>
      <c r="AB75" s="84">
        <v>0</v>
      </c>
      <c r="AC75" s="18">
        <f t="shared" si="25"/>
        <v>619557.72673615639</v>
      </c>
      <c r="AD75" s="47">
        <f t="shared" si="17"/>
        <v>0</v>
      </c>
      <c r="AF75" s="83">
        <v>0</v>
      </c>
      <c r="AG75" s="33">
        <f>AI74*(((1+Dashboard!$C$21)^(1/30))-1)</f>
        <v>53.017385853799205</v>
      </c>
      <c r="AH75" s="84">
        <v>0</v>
      </c>
      <c r="AI75" s="29">
        <f t="shared" si="26"/>
        <v>103646.47625949392</v>
      </c>
      <c r="AJ75" s="45">
        <f t="shared" si="18"/>
        <v>0</v>
      </c>
      <c r="AL75" s="83">
        <v>0</v>
      </c>
      <c r="AM75" s="22">
        <v>0</v>
      </c>
      <c r="AN75" s="45">
        <f t="shared" si="19"/>
        <v>0</v>
      </c>
    </row>
    <row r="76" spans="2:40" x14ac:dyDescent="0.25">
      <c r="B76" s="53">
        <f>B75*(((1+Dashboard!$C$20)^(1/30)))</f>
        <v>1033069.4880493246</v>
      </c>
      <c r="C76" s="1">
        <v>72</v>
      </c>
      <c r="D76" s="51">
        <f t="shared" si="20"/>
        <v>46245</v>
      </c>
      <c r="E76" s="7">
        <f t="shared" si="21"/>
        <v>9</v>
      </c>
      <c r="F76" s="31">
        <f>E76*Dashboard!$I$3</f>
        <v>15102</v>
      </c>
      <c r="G76" s="18">
        <f>E59*Dashboard!$I$4</f>
        <v>15750</v>
      </c>
      <c r="H76" s="48"/>
      <c r="I76" s="7">
        <f t="shared" si="22"/>
        <v>9</v>
      </c>
      <c r="J76" s="31">
        <f>I76*Dashboard!$I$3</f>
        <v>15102</v>
      </c>
      <c r="K76" s="29">
        <f>I57*Dashboard!$I$4</f>
        <v>15750</v>
      </c>
      <c r="L76" s="48"/>
      <c r="M76" s="7">
        <f t="shared" si="23"/>
        <v>12</v>
      </c>
      <c r="N76" s="31">
        <f>M76*Dashboard!$I$3</f>
        <v>20136</v>
      </c>
      <c r="O76" s="18">
        <f>M55*Dashboard!$I$4</f>
        <v>21000</v>
      </c>
      <c r="P76" s="48"/>
      <c r="Q76" s="32">
        <f t="shared" si="24"/>
        <v>30</v>
      </c>
      <c r="R76" s="31">
        <f t="shared" si="14"/>
        <v>50340</v>
      </c>
      <c r="S76" s="31">
        <f t="shared" si="15"/>
        <v>52500</v>
      </c>
      <c r="T76" s="31">
        <f t="shared" si="13"/>
        <v>2160</v>
      </c>
      <c r="U76" s="31">
        <f>U75-R76+S76+V76-Custos!D76+Z75+AF75+AL75-AB75-AH75-AM75</f>
        <v>33504.981698543095</v>
      </c>
      <c r="V76" s="31">
        <f>U75*(((1+Dashboard!$C$17)^(1/30))-1)</f>
        <v>12.352741218019201</v>
      </c>
      <c r="W76" s="29">
        <f t="shared" si="16"/>
        <v>83844.981698543095</v>
      </c>
      <c r="X76" s="45">
        <f>-R76+S76-Custos!D76</f>
        <v>656.59999999999991</v>
      </c>
      <c r="Z76" s="83">
        <v>0</v>
      </c>
      <c r="AA76" s="33">
        <f>AC75*(((1+Dashboard!$C$20)^(1/30))-1)</f>
        <v>283.96609343842653</v>
      </c>
      <c r="AB76" s="84">
        <v>0</v>
      </c>
      <c r="AC76" s="18">
        <f t="shared" si="25"/>
        <v>619841.69282959483</v>
      </c>
      <c r="AD76" s="47">
        <f t="shared" si="17"/>
        <v>0</v>
      </c>
      <c r="AF76" s="83">
        <v>0</v>
      </c>
      <c r="AG76" s="33">
        <f>AI75*(((1+Dashboard!$C$21)^(1/30))-1)</f>
        <v>53.04451925810227</v>
      </c>
      <c r="AH76" s="84">
        <v>0</v>
      </c>
      <c r="AI76" s="29">
        <f t="shared" si="26"/>
        <v>103699.52077875202</v>
      </c>
      <c r="AJ76" s="45">
        <f t="shared" si="18"/>
        <v>0</v>
      </c>
      <c r="AL76" s="83">
        <v>0</v>
      </c>
      <c r="AM76" s="22">
        <v>0</v>
      </c>
      <c r="AN76" s="45">
        <f t="shared" si="19"/>
        <v>0</v>
      </c>
    </row>
    <row r="77" spans="2:40" x14ac:dyDescent="0.25">
      <c r="B77" s="53">
        <f>B76*(((1+Dashboard!$C$20)^(1/30)))</f>
        <v>1033542.9817918967</v>
      </c>
      <c r="C77" s="1">
        <v>73</v>
      </c>
      <c r="D77" s="51">
        <f t="shared" si="20"/>
        <v>46246</v>
      </c>
      <c r="E77" s="7">
        <f t="shared" si="21"/>
        <v>9</v>
      </c>
      <c r="F77" s="31">
        <f>E77*Dashboard!$I$3</f>
        <v>15102</v>
      </c>
      <c r="G77" s="18">
        <f>E60*Dashboard!$I$4</f>
        <v>15750</v>
      </c>
      <c r="H77" s="48"/>
      <c r="I77" s="7">
        <f t="shared" si="22"/>
        <v>9</v>
      </c>
      <c r="J77" s="31">
        <f>I77*Dashboard!$I$3</f>
        <v>15102</v>
      </c>
      <c r="K77" s="29">
        <f>I58*Dashboard!$I$4</f>
        <v>15750</v>
      </c>
      <c r="L77" s="48"/>
      <c r="M77" s="7">
        <f t="shared" si="23"/>
        <v>12</v>
      </c>
      <c r="N77" s="31">
        <f>M77*Dashboard!$I$3</f>
        <v>20136</v>
      </c>
      <c r="O77" s="18">
        <f>M56*Dashboard!$I$4</f>
        <v>21000</v>
      </c>
      <c r="P77" s="48"/>
      <c r="Q77" s="32">
        <f t="shared" si="24"/>
        <v>30</v>
      </c>
      <c r="R77" s="31">
        <f t="shared" si="14"/>
        <v>50340</v>
      </c>
      <c r="S77" s="31">
        <f t="shared" si="15"/>
        <v>52500</v>
      </c>
      <c r="T77" s="31">
        <f t="shared" si="13"/>
        <v>2160</v>
      </c>
      <c r="U77" s="31">
        <f>U76-R77+S77+V77-Custos!D77+Z76+AF76+AL76-AB76-AH76-AM76</f>
        <v>34174.186096260448</v>
      </c>
      <c r="V77" s="31">
        <f>U76*(((1+Dashboard!$C$17)^(1/30))-1)</f>
        <v>12.604397717350778</v>
      </c>
      <c r="W77" s="29">
        <f t="shared" si="16"/>
        <v>84514.186096260441</v>
      </c>
      <c r="X77" s="45">
        <f>-R77+S77-Custos!D77</f>
        <v>656.59999999999991</v>
      </c>
      <c r="Z77" s="83">
        <v>0</v>
      </c>
      <c r="AA77" s="33">
        <f>AC76*(((1+Dashboard!$C$20)^(1/30))-1)</f>
        <v>284.09624554329571</v>
      </c>
      <c r="AB77" s="84">
        <v>0</v>
      </c>
      <c r="AC77" s="18">
        <f t="shared" si="25"/>
        <v>620125.78907513816</v>
      </c>
      <c r="AD77" s="47">
        <f t="shared" si="17"/>
        <v>0</v>
      </c>
      <c r="AF77" s="83">
        <v>0</v>
      </c>
      <c r="AG77" s="33">
        <f>AI76*(((1+Dashboard!$C$21)^(1/30))-1)</f>
        <v>53.071666548824226</v>
      </c>
      <c r="AH77" s="84">
        <v>0</v>
      </c>
      <c r="AI77" s="29">
        <f t="shared" si="26"/>
        <v>103752.59244530085</v>
      </c>
      <c r="AJ77" s="45">
        <f t="shared" si="18"/>
        <v>0</v>
      </c>
      <c r="AL77" s="83">
        <v>0</v>
      </c>
      <c r="AM77" s="22">
        <v>0</v>
      </c>
      <c r="AN77" s="45">
        <f t="shared" si="19"/>
        <v>0</v>
      </c>
    </row>
    <row r="78" spans="2:40" x14ac:dyDescent="0.25">
      <c r="B78" s="53">
        <f>B77*(((1+Dashboard!$C$20)^(1/30)))</f>
        <v>1034016.6925540662</v>
      </c>
      <c r="C78" s="1">
        <v>74</v>
      </c>
      <c r="D78" s="51">
        <f t="shared" si="20"/>
        <v>46247</v>
      </c>
      <c r="E78" s="7">
        <f t="shared" si="21"/>
        <v>9</v>
      </c>
      <c r="F78" s="31">
        <f>E78*Dashboard!$I$3</f>
        <v>15102</v>
      </c>
      <c r="G78" s="18">
        <f>E61*Dashboard!$I$4</f>
        <v>15750</v>
      </c>
      <c r="H78" s="48"/>
      <c r="I78" s="7">
        <f t="shared" si="22"/>
        <v>9</v>
      </c>
      <c r="J78" s="31">
        <f>I78*Dashboard!$I$3</f>
        <v>15102</v>
      </c>
      <c r="K78" s="29">
        <f>I59*Dashboard!$I$4</f>
        <v>15750</v>
      </c>
      <c r="L78" s="48"/>
      <c r="M78" s="7">
        <f t="shared" si="23"/>
        <v>12</v>
      </c>
      <c r="N78" s="31">
        <f>M78*Dashboard!$I$3</f>
        <v>20136</v>
      </c>
      <c r="O78" s="18">
        <f>M57*Dashboard!$I$4</f>
        <v>21000</v>
      </c>
      <c r="P78" s="48"/>
      <c r="Q78" s="32">
        <f t="shared" si="24"/>
        <v>30</v>
      </c>
      <c r="R78" s="31">
        <f t="shared" si="14"/>
        <v>50340</v>
      </c>
      <c r="S78" s="31">
        <f t="shared" si="15"/>
        <v>52500</v>
      </c>
      <c r="T78" s="31">
        <f t="shared" si="13"/>
        <v>2160</v>
      </c>
      <c r="U78" s="31">
        <f>U77-R78+S78+V78-Custos!D78+Z77+AF77+AL77-AB77-AH77-AM77</f>
        <v>34843.642245148978</v>
      </c>
      <c r="V78" s="31">
        <f>U77*(((1+Dashboard!$C$17)^(1/30))-1)</f>
        <v>12.856148888532481</v>
      </c>
      <c r="W78" s="29">
        <f t="shared" si="16"/>
        <v>85183.642245148978</v>
      </c>
      <c r="X78" s="45">
        <f>-R78+S78-Custos!D78</f>
        <v>656.59999999999991</v>
      </c>
      <c r="Z78" s="83">
        <v>0</v>
      </c>
      <c r="AA78" s="33">
        <f>AC77*(((1+Dashboard!$C$20)^(1/30))-1)</f>
        <v>284.22645730166158</v>
      </c>
      <c r="AB78" s="84">
        <v>0</v>
      </c>
      <c r="AC78" s="18">
        <f t="shared" si="25"/>
        <v>620410.01553243981</v>
      </c>
      <c r="AD78" s="47">
        <f t="shared" si="17"/>
        <v>0</v>
      </c>
      <c r="AF78" s="83">
        <v>0</v>
      </c>
      <c r="AG78" s="33">
        <f>AI77*(((1+Dashboard!$C$21)^(1/30))-1)</f>
        <v>53.098827733071921</v>
      </c>
      <c r="AH78" s="84">
        <v>0</v>
      </c>
      <c r="AI78" s="29">
        <f t="shared" si="26"/>
        <v>103805.69127303392</v>
      </c>
      <c r="AJ78" s="45">
        <f t="shared" si="18"/>
        <v>0</v>
      </c>
      <c r="AL78" s="83">
        <v>0</v>
      </c>
      <c r="AM78" s="22">
        <v>0</v>
      </c>
      <c r="AN78" s="45">
        <f t="shared" si="19"/>
        <v>0</v>
      </c>
    </row>
    <row r="79" spans="2:40" x14ac:dyDescent="0.25">
      <c r="B79" s="53">
        <f>B78*(((1+Dashboard!$C$20)^(1/30)))</f>
        <v>1034490.620435301</v>
      </c>
      <c r="C79" s="1">
        <v>75</v>
      </c>
      <c r="D79" s="51">
        <f t="shared" si="20"/>
        <v>46248</v>
      </c>
      <c r="E79" s="7">
        <f t="shared" si="21"/>
        <v>9</v>
      </c>
      <c r="F79" s="31">
        <f>E79*Dashboard!$I$3</f>
        <v>15102</v>
      </c>
      <c r="G79" s="18">
        <f>E62*Dashboard!$I$4</f>
        <v>15750</v>
      </c>
      <c r="H79" s="48"/>
      <c r="I79" s="7">
        <f t="shared" si="22"/>
        <v>9</v>
      </c>
      <c r="J79" s="31">
        <f>I79*Dashboard!$I$3</f>
        <v>15102</v>
      </c>
      <c r="K79" s="29">
        <f>I60*Dashboard!$I$4</f>
        <v>15750</v>
      </c>
      <c r="L79" s="48"/>
      <c r="M79" s="7">
        <f t="shared" si="23"/>
        <v>12</v>
      </c>
      <c r="N79" s="31">
        <f>M79*Dashboard!$I$3</f>
        <v>20136</v>
      </c>
      <c r="O79" s="18">
        <f>M58*Dashboard!$I$4</f>
        <v>21000</v>
      </c>
      <c r="P79" s="48"/>
      <c r="Q79" s="32">
        <f t="shared" si="24"/>
        <v>30</v>
      </c>
      <c r="R79" s="31">
        <f t="shared" si="14"/>
        <v>50340</v>
      </c>
      <c r="S79" s="31">
        <f t="shared" si="15"/>
        <v>52500</v>
      </c>
      <c r="T79" s="31">
        <f t="shared" si="13"/>
        <v>2160</v>
      </c>
      <c r="U79" s="31">
        <f>U78-R79+S79+V79-Custos!D79+Z78+AF78+AL78-AB78-AH78-AM78</f>
        <v>35513.350239916159</v>
      </c>
      <c r="V79" s="31">
        <f>U78*(((1+Dashboard!$C$17)^(1/30))-1)</f>
        <v>13.107994767179354</v>
      </c>
      <c r="W79" s="29">
        <f t="shared" si="16"/>
        <v>85853.350239916152</v>
      </c>
      <c r="X79" s="45">
        <f>-R79+S79-Custos!D79</f>
        <v>656.59999999999991</v>
      </c>
      <c r="Z79" s="83">
        <v>0</v>
      </c>
      <c r="AA79" s="33">
        <f>AC78*(((1+Dashboard!$C$20)^(1/30))-1)</f>
        <v>284.35672874086544</v>
      </c>
      <c r="AB79" s="84">
        <v>0</v>
      </c>
      <c r="AC79" s="18">
        <f t="shared" si="25"/>
        <v>620694.37226118066</v>
      </c>
      <c r="AD79" s="47">
        <f t="shared" si="17"/>
        <v>0</v>
      </c>
      <c r="AF79" s="83">
        <v>0</v>
      </c>
      <c r="AG79" s="33">
        <f>AI78*(((1+Dashboard!$C$21)^(1/30))-1)</f>
        <v>53.126002817955829</v>
      </c>
      <c r="AH79" s="84">
        <v>0</v>
      </c>
      <c r="AI79" s="29">
        <f t="shared" si="26"/>
        <v>103858.81727585188</v>
      </c>
      <c r="AJ79" s="45">
        <f t="shared" si="18"/>
        <v>0</v>
      </c>
      <c r="AL79" s="83">
        <v>0</v>
      </c>
      <c r="AM79" s="22">
        <v>0</v>
      </c>
      <c r="AN79" s="45">
        <f t="shared" si="19"/>
        <v>0</v>
      </c>
    </row>
    <row r="80" spans="2:40" x14ac:dyDescent="0.25">
      <c r="B80" s="53">
        <f>B79*(((1+Dashboard!$C$20)^(1/30)))</f>
        <v>1034964.7655351148</v>
      </c>
      <c r="C80" s="1">
        <v>76</v>
      </c>
      <c r="D80" s="51">
        <f t="shared" si="20"/>
        <v>46249</v>
      </c>
      <c r="E80" s="7">
        <f t="shared" si="21"/>
        <v>9</v>
      </c>
      <c r="F80" s="31">
        <f>E80*Dashboard!$I$3</f>
        <v>15102</v>
      </c>
      <c r="G80" s="18">
        <f>E63*Dashboard!$I$4</f>
        <v>15750</v>
      </c>
      <c r="H80" s="48"/>
      <c r="I80" s="7">
        <f t="shared" si="22"/>
        <v>9</v>
      </c>
      <c r="J80" s="31">
        <f>I80*Dashboard!$I$3</f>
        <v>15102</v>
      </c>
      <c r="K80" s="29">
        <f>I61*Dashboard!$I$4</f>
        <v>15750</v>
      </c>
      <c r="L80" s="48"/>
      <c r="M80" s="7">
        <f t="shared" si="23"/>
        <v>12</v>
      </c>
      <c r="N80" s="31">
        <f>M80*Dashboard!$I$3</f>
        <v>20136</v>
      </c>
      <c r="O80" s="18">
        <f>M59*Dashboard!$I$4</f>
        <v>21000</v>
      </c>
      <c r="P80" s="48"/>
      <c r="Q80" s="32">
        <f t="shared" si="24"/>
        <v>30</v>
      </c>
      <c r="R80" s="31">
        <f t="shared" si="14"/>
        <v>50340</v>
      </c>
      <c r="S80" s="31">
        <f t="shared" si="15"/>
        <v>52500</v>
      </c>
      <c r="T80" s="31">
        <f t="shared" si="13"/>
        <v>2160</v>
      </c>
      <c r="U80" s="31">
        <f>U79-R80+S80+V80-Custos!D80+Z79+AF79+AL79-AB79-AH79-AM79</f>
        <v>36183.31017530508</v>
      </c>
      <c r="V80" s="31">
        <f>U79*(((1+Dashboard!$C$17)^(1/30))-1)</f>
        <v>13.359935388919855</v>
      </c>
      <c r="W80" s="29">
        <f t="shared" si="16"/>
        <v>86523.310175305087</v>
      </c>
      <c r="X80" s="45">
        <f>-R80+S80-Custos!D80</f>
        <v>656.59999999999991</v>
      </c>
      <c r="Z80" s="83">
        <v>0</v>
      </c>
      <c r="AA80" s="33">
        <f>AC79*(((1+Dashboard!$C$20)^(1/30))-1)</f>
        <v>284.48705988826129</v>
      </c>
      <c r="AB80" s="84">
        <v>0</v>
      </c>
      <c r="AC80" s="18">
        <f t="shared" si="25"/>
        <v>620978.85932106897</v>
      </c>
      <c r="AD80" s="47">
        <f t="shared" si="17"/>
        <v>0</v>
      </c>
      <c r="AF80" s="83">
        <v>0</v>
      </c>
      <c r="AG80" s="33">
        <f>AI79*(((1+Dashboard!$C$21)^(1/30))-1)</f>
        <v>53.153191810590059</v>
      </c>
      <c r="AH80" s="84">
        <v>0</v>
      </c>
      <c r="AI80" s="29">
        <f t="shared" si="26"/>
        <v>103911.97046766247</v>
      </c>
      <c r="AJ80" s="45">
        <f t="shared" si="18"/>
        <v>0</v>
      </c>
      <c r="AL80" s="83">
        <v>0</v>
      </c>
      <c r="AM80" s="22">
        <v>0</v>
      </c>
      <c r="AN80" s="45">
        <f t="shared" si="19"/>
        <v>0</v>
      </c>
    </row>
    <row r="81" spans="2:40" x14ac:dyDescent="0.25">
      <c r="B81" s="53">
        <f>B80*(((1+Dashboard!$C$20)^(1/30)))</f>
        <v>1035439.1279530668</v>
      </c>
      <c r="C81" s="1">
        <v>77</v>
      </c>
      <c r="D81" s="51">
        <f t="shared" si="20"/>
        <v>46250</v>
      </c>
      <c r="E81" s="7">
        <f t="shared" si="21"/>
        <v>9</v>
      </c>
      <c r="F81" s="31">
        <f>E81*Dashboard!$I$3</f>
        <v>15102</v>
      </c>
      <c r="G81" s="18">
        <f>E64*Dashboard!$I$4</f>
        <v>15750</v>
      </c>
      <c r="H81" s="48"/>
      <c r="I81" s="7">
        <f t="shared" si="22"/>
        <v>9</v>
      </c>
      <c r="J81" s="31">
        <f>I81*Dashboard!$I$3</f>
        <v>15102</v>
      </c>
      <c r="K81" s="29">
        <f>I62*Dashboard!$I$4</f>
        <v>15750</v>
      </c>
      <c r="L81" s="48"/>
      <c r="M81" s="7">
        <f t="shared" si="23"/>
        <v>12</v>
      </c>
      <c r="N81" s="31">
        <f>M81*Dashboard!$I$3</f>
        <v>20136</v>
      </c>
      <c r="O81" s="18">
        <f>M60*Dashboard!$I$4</f>
        <v>21000</v>
      </c>
      <c r="P81" s="48"/>
      <c r="Q81" s="32">
        <f t="shared" si="24"/>
        <v>30</v>
      </c>
      <c r="R81" s="31">
        <f t="shared" si="14"/>
        <v>50340</v>
      </c>
      <c r="S81" s="31">
        <f t="shared" si="15"/>
        <v>52500</v>
      </c>
      <c r="T81" s="31">
        <f t="shared" si="13"/>
        <v>2160</v>
      </c>
      <c r="U81" s="31">
        <f>U80-R81+S81+V81-Custos!D81+Z80+AF80+AL80-AB80-AH80-AM80</f>
        <v>36853.522146094474</v>
      </c>
      <c r="V81" s="31">
        <f>U80*(((1+Dashboard!$C$17)^(1/30))-1)</f>
        <v>13.611970789395832</v>
      </c>
      <c r="W81" s="29">
        <f t="shared" si="16"/>
        <v>87193.522146094474</v>
      </c>
      <c r="X81" s="45">
        <f>-R81+S81-Custos!D81</f>
        <v>656.59999999999991</v>
      </c>
      <c r="Z81" s="83">
        <v>0</v>
      </c>
      <c r="AA81" s="33">
        <f>AC80*(((1+Dashboard!$C$20)^(1/30))-1)</f>
        <v>284.61745077121554</v>
      </c>
      <c r="AB81" s="84">
        <v>0</v>
      </c>
      <c r="AC81" s="18">
        <f t="shared" si="25"/>
        <v>621263.47677184024</v>
      </c>
      <c r="AD81" s="47">
        <f t="shared" si="17"/>
        <v>0</v>
      </c>
      <c r="AF81" s="83">
        <v>0</v>
      </c>
      <c r="AG81" s="33">
        <f>AI80*(((1+Dashboard!$C$21)^(1/30))-1)</f>
        <v>53.180394718092359</v>
      </c>
      <c r="AH81" s="84">
        <v>0</v>
      </c>
      <c r="AI81" s="29">
        <f t="shared" si="26"/>
        <v>103965.15086238056</v>
      </c>
      <c r="AJ81" s="45">
        <f t="shared" si="18"/>
        <v>0</v>
      </c>
      <c r="AL81" s="83">
        <v>0</v>
      </c>
      <c r="AM81" s="22">
        <v>0</v>
      </c>
      <c r="AN81" s="45">
        <f t="shared" si="19"/>
        <v>0</v>
      </c>
    </row>
    <row r="82" spans="2:40" x14ac:dyDescent="0.25">
      <c r="B82" s="53">
        <f>B81*(((1+Dashboard!$C$20)^(1/30)))</f>
        <v>1035913.7077887621</v>
      </c>
      <c r="C82" s="1">
        <v>78</v>
      </c>
      <c r="D82" s="51">
        <f t="shared" si="20"/>
        <v>46251</v>
      </c>
      <c r="E82" s="7">
        <f t="shared" si="21"/>
        <v>9</v>
      </c>
      <c r="F82" s="31">
        <f>E82*Dashboard!$I$3</f>
        <v>15102</v>
      </c>
      <c r="G82" s="18">
        <f>E65*Dashboard!$I$4</f>
        <v>15750</v>
      </c>
      <c r="H82" s="48"/>
      <c r="I82" s="7">
        <f t="shared" si="22"/>
        <v>9</v>
      </c>
      <c r="J82" s="31">
        <f>I82*Dashboard!$I$3</f>
        <v>15102</v>
      </c>
      <c r="K82" s="29">
        <f>I63*Dashboard!$I$4</f>
        <v>15750</v>
      </c>
      <c r="L82" s="48"/>
      <c r="M82" s="7">
        <f t="shared" si="23"/>
        <v>12</v>
      </c>
      <c r="N82" s="31">
        <f>M82*Dashboard!$I$3</f>
        <v>20136</v>
      </c>
      <c r="O82" s="18">
        <f>M61*Dashboard!$I$4</f>
        <v>21000</v>
      </c>
      <c r="P82" s="48"/>
      <c r="Q82" s="32">
        <f t="shared" si="24"/>
        <v>30</v>
      </c>
      <c r="R82" s="31">
        <f t="shared" si="14"/>
        <v>50340</v>
      </c>
      <c r="S82" s="31">
        <f t="shared" si="15"/>
        <v>52500</v>
      </c>
      <c r="T82" s="31">
        <f t="shared" si="13"/>
        <v>2160</v>
      </c>
      <c r="U82" s="31">
        <f>U81-R82+S82+V82-Custos!D82+Z81+AF81+AL81-AB81-AH81-AM81</f>
        <v>37523.986247098735</v>
      </c>
      <c r="V82" s="31">
        <f>U81*(((1+Dashboard!$C$17)^(1/30))-1)</f>
        <v>13.864101004262546</v>
      </c>
      <c r="W82" s="29">
        <f t="shared" si="16"/>
        <v>87863.986247098743</v>
      </c>
      <c r="X82" s="45">
        <f>-R82+S82-Custos!D82</f>
        <v>656.59999999999991</v>
      </c>
      <c r="Z82" s="83">
        <v>0</v>
      </c>
      <c r="AA82" s="33">
        <f>AC81*(((1+Dashboard!$C$20)^(1/30))-1)</f>
        <v>284.74790141710724</v>
      </c>
      <c r="AB82" s="84">
        <v>0</v>
      </c>
      <c r="AC82" s="18">
        <f t="shared" si="25"/>
        <v>621548.22467325733</v>
      </c>
      <c r="AD82" s="47">
        <f t="shared" si="17"/>
        <v>0</v>
      </c>
      <c r="AF82" s="83">
        <v>0</v>
      </c>
      <c r="AG82" s="33">
        <f>AI81*(((1+Dashboard!$C$21)^(1/30))-1)</f>
        <v>53.207611547584129</v>
      </c>
      <c r="AH82" s="84">
        <v>0</v>
      </c>
      <c r="AI82" s="29">
        <f t="shared" si="26"/>
        <v>104018.35847392814</v>
      </c>
      <c r="AJ82" s="45">
        <f t="shared" si="18"/>
        <v>0</v>
      </c>
      <c r="AL82" s="83">
        <v>0</v>
      </c>
      <c r="AM82" s="22">
        <v>0</v>
      </c>
      <c r="AN82" s="45">
        <f t="shared" si="19"/>
        <v>0</v>
      </c>
    </row>
    <row r="83" spans="2:40" x14ac:dyDescent="0.25">
      <c r="B83" s="53">
        <f>B82*(((1+Dashboard!$C$20)^(1/30)))</f>
        <v>1036388.5051418509</v>
      </c>
      <c r="C83" s="1">
        <v>79</v>
      </c>
      <c r="D83" s="51">
        <f t="shared" si="20"/>
        <v>46252</v>
      </c>
      <c r="E83" s="7">
        <f t="shared" si="21"/>
        <v>9</v>
      </c>
      <c r="F83" s="31">
        <f>E83*Dashboard!$I$3</f>
        <v>15102</v>
      </c>
      <c r="G83" s="18">
        <f>E66*Dashboard!$I$4</f>
        <v>15750</v>
      </c>
      <c r="H83" s="48"/>
      <c r="I83" s="7">
        <f t="shared" si="22"/>
        <v>9</v>
      </c>
      <c r="J83" s="31">
        <f>I83*Dashboard!$I$3</f>
        <v>15102</v>
      </c>
      <c r="K83" s="29">
        <f>I64*Dashboard!$I$4</f>
        <v>15750</v>
      </c>
      <c r="L83" s="48"/>
      <c r="M83" s="7">
        <f t="shared" si="23"/>
        <v>12</v>
      </c>
      <c r="N83" s="31">
        <f>M83*Dashboard!$I$3</f>
        <v>20136</v>
      </c>
      <c r="O83" s="18">
        <f>M62*Dashboard!$I$4</f>
        <v>21000</v>
      </c>
      <c r="P83" s="48"/>
      <c r="Q83" s="32">
        <f t="shared" si="24"/>
        <v>30</v>
      </c>
      <c r="R83" s="31">
        <f t="shared" si="14"/>
        <v>50340</v>
      </c>
      <c r="S83" s="31">
        <f t="shared" si="15"/>
        <v>52500</v>
      </c>
      <c r="T83" s="31">
        <f t="shared" si="13"/>
        <v>2160</v>
      </c>
      <c r="U83" s="31">
        <f>U82-R83+S83+V83-Custos!D83+Z82+AF82+AL82-AB82-AH82-AM82</f>
        <v>38194.702573167924</v>
      </c>
      <c r="V83" s="31">
        <f>U82*(((1+Dashboard!$C$17)^(1/30))-1)</f>
        <v>14.116326069188673</v>
      </c>
      <c r="W83" s="29">
        <f t="shared" si="16"/>
        <v>88534.702573167917</v>
      </c>
      <c r="X83" s="45">
        <f>-R83+S83-Custos!D83</f>
        <v>656.59999999999991</v>
      </c>
      <c r="Z83" s="83">
        <v>0</v>
      </c>
      <c r="AA83" s="33">
        <f>AC82*(((1+Dashboard!$C$20)^(1/30))-1)</f>
        <v>284.87841185332786</v>
      </c>
      <c r="AB83" s="84">
        <v>0</v>
      </c>
      <c r="AC83" s="18">
        <f t="shared" si="25"/>
        <v>621833.10308511066</v>
      </c>
      <c r="AD83" s="47">
        <f t="shared" si="17"/>
        <v>0</v>
      </c>
      <c r="AF83" s="83">
        <v>0</v>
      </c>
      <c r="AG83" s="33">
        <f>AI82*(((1+Dashboard!$C$21)^(1/30))-1)</f>
        <v>53.234842306190401</v>
      </c>
      <c r="AH83" s="84">
        <v>0</v>
      </c>
      <c r="AI83" s="29">
        <f t="shared" si="26"/>
        <v>104071.59331623433</v>
      </c>
      <c r="AJ83" s="45">
        <f t="shared" si="18"/>
        <v>0</v>
      </c>
      <c r="AL83" s="83">
        <v>0</v>
      </c>
      <c r="AM83" s="22">
        <v>0</v>
      </c>
      <c r="AN83" s="45">
        <f t="shared" si="19"/>
        <v>0</v>
      </c>
    </row>
    <row r="84" spans="2:40" x14ac:dyDescent="0.25">
      <c r="B84" s="53">
        <f>B83*(((1+Dashboard!$C$20)^(1/30)))</f>
        <v>1036863.5201120297</v>
      </c>
      <c r="C84" s="1">
        <v>80</v>
      </c>
      <c r="D84" s="51">
        <f t="shared" si="20"/>
        <v>46253</v>
      </c>
      <c r="E84" s="7">
        <f t="shared" si="21"/>
        <v>9</v>
      </c>
      <c r="F84" s="31">
        <f>E84*Dashboard!$I$3</f>
        <v>15102</v>
      </c>
      <c r="G84" s="18">
        <f>E67*Dashboard!$I$4</f>
        <v>15750</v>
      </c>
      <c r="H84" s="48"/>
      <c r="I84" s="7">
        <f t="shared" si="22"/>
        <v>9</v>
      </c>
      <c r="J84" s="31">
        <f>I84*Dashboard!$I$3</f>
        <v>15102</v>
      </c>
      <c r="K84" s="29">
        <f>I65*Dashboard!$I$4</f>
        <v>15750</v>
      </c>
      <c r="L84" s="48"/>
      <c r="M84" s="7">
        <f t="shared" si="23"/>
        <v>12</v>
      </c>
      <c r="N84" s="31">
        <f>M84*Dashboard!$I$3</f>
        <v>20136</v>
      </c>
      <c r="O84" s="18">
        <f>M63*Dashboard!$I$4</f>
        <v>21000</v>
      </c>
      <c r="P84" s="48"/>
      <c r="Q84" s="32">
        <f t="shared" si="24"/>
        <v>30</v>
      </c>
      <c r="R84" s="31">
        <f t="shared" si="14"/>
        <v>50340</v>
      </c>
      <c r="S84" s="31">
        <f t="shared" si="15"/>
        <v>52500</v>
      </c>
      <c r="T84" s="31">
        <f t="shared" si="13"/>
        <v>2160</v>
      </c>
      <c r="U84" s="31">
        <f>U83-R84+S84+V84-Custos!D84+Z83+AF83+AL83-AB83-AH83-AM83</f>
        <v>38865.671219187781</v>
      </c>
      <c r="V84" s="31">
        <f>U83*(((1+Dashboard!$C$17)^(1/30))-1)</f>
        <v>14.368646019856309</v>
      </c>
      <c r="W84" s="29">
        <f t="shared" si="16"/>
        <v>89205.671219187789</v>
      </c>
      <c r="X84" s="45">
        <f>-R84+S84-Custos!D84</f>
        <v>656.59999999999991</v>
      </c>
      <c r="Z84" s="83">
        <v>0</v>
      </c>
      <c r="AA84" s="33">
        <f>AC83*(((1+Dashboard!$C$20)^(1/30))-1)</f>
        <v>285.00898210728161</v>
      </c>
      <c r="AB84" s="84">
        <v>0</v>
      </c>
      <c r="AC84" s="18">
        <f t="shared" si="25"/>
        <v>622118.11206721794</v>
      </c>
      <c r="AD84" s="47">
        <f t="shared" si="17"/>
        <v>0</v>
      </c>
      <c r="AF84" s="83">
        <v>0</v>
      </c>
      <c r="AG84" s="33">
        <f>AI83*(((1+Dashboard!$C$21)^(1/30))-1)</f>
        <v>53.262087001039873</v>
      </c>
      <c r="AH84" s="84">
        <v>0</v>
      </c>
      <c r="AI84" s="29">
        <f t="shared" si="26"/>
        <v>104124.85540323537</v>
      </c>
      <c r="AJ84" s="45">
        <f t="shared" si="18"/>
        <v>0</v>
      </c>
      <c r="AL84" s="83">
        <v>0</v>
      </c>
      <c r="AM84" s="22">
        <v>0</v>
      </c>
      <c r="AN84" s="45">
        <f t="shared" si="19"/>
        <v>0</v>
      </c>
    </row>
    <row r="85" spans="2:40" x14ac:dyDescent="0.25">
      <c r="B85" s="53">
        <f>B84*(((1+Dashboard!$C$20)^(1/30)))</f>
        <v>1037338.7527990404</v>
      </c>
      <c r="C85" s="1">
        <v>81</v>
      </c>
      <c r="D85" s="51">
        <f t="shared" si="20"/>
        <v>46254</v>
      </c>
      <c r="E85" s="7">
        <f t="shared" si="21"/>
        <v>9</v>
      </c>
      <c r="F85" s="31">
        <f>E85*Dashboard!$I$3</f>
        <v>15102</v>
      </c>
      <c r="G85" s="18">
        <f>E68*Dashboard!$I$4</f>
        <v>15750</v>
      </c>
      <c r="H85" s="48"/>
      <c r="I85" s="7">
        <f t="shared" si="22"/>
        <v>9</v>
      </c>
      <c r="J85" s="31">
        <f>I85*Dashboard!$I$3</f>
        <v>15102</v>
      </c>
      <c r="K85" s="29">
        <f>I66*Dashboard!$I$4</f>
        <v>15750</v>
      </c>
      <c r="L85" s="48"/>
      <c r="M85" s="7">
        <f t="shared" si="23"/>
        <v>12</v>
      </c>
      <c r="N85" s="31">
        <f>M85*Dashboard!$I$3</f>
        <v>20136</v>
      </c>
      <c r="O85" s="18">
        <f>M64*Dashboard!$I$4</f>
        <v>21000</v>
      </c>
      <c r="P85" s="48"/>
      <c r="Q85" s="32">
        <f t="shared" si="24"/>
        <v>30</v>
      </c>
      <c r="R85" s="31">
        <f t="shared" si="14"/>
        <v>50340</v>
      </c>
      <c r="S85" s="31">
        <f t="shared" si="15"/>
        <v>52500</v>
      </c>
      <c r="T85" s="31">
        <f t="shared" si="13"/>
        <v>2160</v>
      </c>
      <c r="U85" s="31">
        <f>U84-R85+S85+V85-Custos!D85+Z84+AF84+AL84-AB84-AH84-AM84</f>
        <v>39536.892280079745</v>
      </c>
      <c r="V85" s="31">
        <f>U84*(((1+Dashboard!$C$17)^(1/30))-1)</f>
        <v>14.621060891960965</v>
      </c>
      <c r="W85" s="29">
        <f t="shared" si="16"/>
        <v>89876.892280079745</v>
      </c>
      <c r="X85" s="45">
        <f>-R85+S85-Custos!D85</f>
        <v>656.59999999999991</v>
      </c>
      <c r="Z85" s="83">
        <v>0</v>
      </c>
      <c r="AA85" s="33">
        <f>AC84*(((1+Dashboard!$C$20)^(1/30))-1)</f>
        <v>285.13961220638504</v>
      </c>
      <c r="AB85" s="84">
        <v>0</v>
      </c>
      <c r="AC85" s="18">
        <f t="shared" si="25"/>
        <v>622403.25167942431</v>
      </c>
      <c r="AD85" s="47">
        <f t="shared" si="17"/>
        <v>0</v>
      </c>
      <c r="AF85" s="83">
        <v>0</v>
      </c>
      <c r="AG85" s="33">
        <f>AI84*(((1+Dashboard!$C$21)^(1/30))-1)</f>
        <v>53.289345639264873</v>
      </c>
      <c r="AH85" s="84">
        <v>0</v>
      </c>
      <c r="AI85" s="29">
        <f t="shared" si="26"/>
        <v>104178.14474887463</v>
      </c>
      <c r="AJ85" s="45">
        <f t="shared" si="18"/>
        <v>0</v>
      </c>
      <c r="AL85" s="83">
        <v>0</v>
      </c>
      <c r="AM85" s="22">
        <v>0</v>
      </c>
      <c r="AN85" s="45">
        <f t="shared" si="19"/>
        <v>0</v>
      </c>
    </row>
    <row r="86" spans="2:40" x14ac:dyDescent="0.25">
      <c r="B86" s="53">
        <f>B85*(((1+Dashboard!$C$20)^(1/30)))</f>
        <v>1037814.2033026705</v>
      </c>
      <c r="C86" s="1">
        <v>82</v>
      </c>
      <c r="D86" s="51">
        <f t="shared" si="20"/>
        <v>46255</v>
      </c>
      <c r="E86" s="7">
        <f t="shared" si="21"/>
        <v>9</v>
      </c>
      <c r="F86" s="31">
        <f>E86*Dashboard!$I$3</f>
        <v>15102</v>
      </c>
      <c r="G86" s="18">
        <f>E69*Dashboard!$I$4</f>
        <v>15750</v>
      </c>
      <c r="H86" s="48"/>
      <c r="I86" s="7">
        <f t="shared" si="22"/>
        <v>9</v>
      </c>
      <c r="J86" s="31">
        <f>I86*Dashboard!$I$3</f>
        <v>15102</v>
      </c>
      <c r="K86" s="29">
        <f>I67*Dashboard!$I$4</f>
        <v>15750</v>
      </c>
      <c r="L86" s="48"/>
      <c r="M86" s="7">
        <f t="shared" si="23"/>
        <v>12</v>
      </c>
      <c r="N86" s="31">
        <f>M86*Dashboard!$I$3</f>
        <v>20136</v>
      </c>
      <c r="O86" s="18">
        <f>M65*Dashboard!$I$4</f>
        <v>21000</v>
      </c>
      <c r="P86" s="48"/>
      <c r="Q86" s="32">
        <f t="shared" si="24"/>
        <v>30</v>
      </c>
      <c r="R86" s="31">
        <f t="shared" si="14"/>
        <v>50340</v>
      </c>
      <c r="S86" s="31">
        <f t="shared" si="15"/>
        <v>52500</v>
      </c>
      <c r="T86" s="31">
        <f t="shared" si="13"/>
        <v>2160</v>
      </c>
      <c r="U86" s="31">
        <f>U85-R86+S86+V86-Custos!D86+Z85+AF85+AL85-AB85-AH85-AM85</f>
        <v>40208.365850800954</v>
      </c>
      <c r="V86" s="31">
        <f>U85*(((1+Dashboard!$C$17)^(1/30))-1)</f>
        <v>14.873570721211591</v>
      </c>
      <c r="W86" s="29">
        <f t="shared" si="16"/>
        <v>90548.365850800954</v>
      </c>
      <c r="X86" s="45">
        <f>-R86+S86-Custos!D86</f>
        <v>656.59999999999991</v>
      </c>
      <c r="Z86" s="83">
        <v>0</v>
      </c>
      <c r="AA86" s="33">
        <f>AC85*(((1+Dashboard!$C$20)^(1/30))-1)</f>
        <v>285.27030217806754</v>
      </c>
      <c r="AB86" s="84">
        <v>0</v>
      </c>
      <c r="AC86" s="18">
        <f t="shared" si="25"/>
        <v>622688.52198160242</v>
      </c>
      <c r="AD86" s="47">
        <f t="shared" si="17"/>
        <v>0</v>
      </c>
      <c r="AF86" s="83">
        <v>0</v>
      </c>
      <c r="AG86" s="33">
        <f>AI85*(((1+Dashboard!$C$21)^(1/30))-1)</f>
        <v>53.316618228001381</v>
      </c>
      <c r="AH86" s="84">
        <v>0</v>
      </c>
      <c r="AI86" s="29">
        <f t="shared" si="26"/>
        <v>104231.46136710263</v>
      </c>
      <c r="AJ86" s="45">
        <f t="shared" si="18"/>
        <v>0</v>
      </c>
      <c r="AL86" s="83">
        <v>0</v>
      </c>
      <c r="AM86" s="22">
        <v>0</v>
      </c>
      <c r="AN86" s="45">
        <f t="shared" si="19"/>
        <v>0</v>
      </c>
    </row>
    <row r="87" spans="2:40" x14ac:dyDescent="0.25">
      <c r="B87" s="53">
        <f>B86*(((1+Dashboard!$C$20)^(1/30)))</f>
        <v>1038289.8717227535</v>
      </c>
      <c r="C87" s="1">
        <v>83</v>
      </c>
      <c r="D87" s="51">
        <f t="shared" si="20"/>
        <v>46256</v>
      </c>
      <c r="E87" s="7">
        <f t="shared" si="21"/>
        <v>9</v>
      </c>
      <c r="F87" s="31">
        <f>E87*Dashboard!$I$3</f>
        <v>15102</v>
      </c>
      <c r="G87" s="18">
        <f>E70*Dashboard!$I$4</f>
        <v>15750</v>
      </c>
      <c r="H87" s="48"/>
      <c r="I87" s="7">
        <f t="shared" si="22"/>
        <v>9</v>
      </c>
      <c r="J87" s="31">
        <f>I87*Dashboard!$I$3</f>
        <v>15102</v>
      </c>
      <c r="K87" s="29">
        <f>I68*Dashboard!$I$4</f>
        <v>15750</v>
      </c>
      <c r="L87" s="48"/>
      <c r="M87" s="7">
        <f t="shared" si="23"/>
        <v>12</v>
      </c>
      <c r="N87" s="31">
        <f>M87*Dashboard!$I$3</f>
        <v>20136</v>
      </c>
      <c r="O87" s="18">
        <f>M66*Dashboard!$I$4</f>
        <v>21000</v>
      </c>
      <c r="P87" s="48"/>
      <c r="Q87" s="32">
        <f t="shared" si="24"/>
        <v>30</v>
      </c>
      <c r="R87" s="31">
        <f t="shared" si="14"/>
        <v>50340</v>
      </c>
      <c r="S87" s="31">
        <f t="shared" si="15"/>
        <v>52500</v>
      </c>
      <c r="T87" s="31">
        <f t="shared" ref="T87:T127" si="27">S87-R70</f>
        <v>2160</v>
      </c>
      <c r="U87" s="31">
        <f>U86-R87+S87+V87-Custos!D87+Z86+AF86+AL86-AB86-AH86-AM86</f>
        <v>40880.092026344282</v>
      </c>
      <c r="V87" s="31">
        <f>U86*(((1+Dashboard!$C$17)^(1/30))-1)</f>
        <v>15.126175543330559</v>
      </c>
      <c r="W87" s="29">
        <f t="shared" si="16"/>
        <v>91220.092026344282</v>
      </c>
      <c r="X87" s="45">
        <f>-R87+S87-Custos!D87</f>
        <v>656.59999999999991</v>
      </c>
      <c r="Z87" s="83">
        <v>0</v>
      </c>
      <c r="AA87" s="33">
        <f>AC86*(((1+Dashboard!$C$20)^(1/30))-1)</f>
        <v>285.40105204977078</v>
      </c>
      <c r="AB87" s="84">
        <v>0</v>
      </c>
      <c r="AC87" s="18">
        <f t="shared" si="25"/>
        <v>622973.92303365225</v>
      </c>
      <c r="AD87" s="47">
        <f t="shared" si="17"/>
        <v>0</v>
      </c>
      <c r="AF87" s="83">
        <v>0</v>
      </c>
      <c r="AG87" s="33">
        <f>AI86*(((1+Dashboard!$C$21)^(1/30))-1)</f>
        <v>53.343904774389038</v>
      </c>
      <c r="AH87" s="84">
        <v>0</v>
      </c>
      <c r="AI87" s="29">
        <f t="shared" si="26"/>
        <v>104284.80527187702</v>
      </c>
      <c r="AJ87" s="45">
        <f t="shared" si="18"/>
        <v>0</v>
      </c>
      <c r="AL87" s="83">
        <v>0</v>
      </c>
      <c r="AM87" s="22">
        <v>0</v>
      </c>
      <c r="AN87" s="45">
        <f t="shared" si="19"/>
        <v>0</v>
      </c>
    </row>
    <row r="88" spans="2:40" x14ac:dyDescent="0.25">
      <c r="B88" s="53">
        <f>B87*(((1+Dashboard!$C$20)^(1/30)))</f>
        <v>1038765.7581591684</v>
      </c>
      <c r="C88" s="1">
        <v>84</v>
      </c>
      <c r="D88" s="51">
        <f t="shared" si="20"/>
        <v>46257</v>
      </c>
      <c r="E88" s="7">
        <f t="shared" si="21"/>
        <v>9</v>
      </c>
      <c r="F88" s="31">
        <f>E88*Dashboard!$I$3</f>
        <v>15102</v>
      </c>
      <c r="G88" s="18">
        <f>E71*Dashboard!$I$4</f>
        <v>15750</v>
      </c>
      <c r="H88" s="48"/>
      <c r="I88" s="7">
        <f t="shared" si="22"/>
        <v>9</v>
      </c>
      <c r="J88" s="31">
        <f>I88*Dashboard!$I$3</f>
        <v>15102</v>
      </c>
      <c r="K88" s="29">
        <f>I69*Dashboard!$I$4</f>
        <v>15750</v>
      </c>
      <c r="L88" s="48"/>
      <c r="M88" s="7">
        <f t="shared" si="23"/>
        <v>12</v>
      </c>
      <c r="N88" s="31">
        <f>M88*Dashboard!$I$3</f>
        <v>20136</v>
      </c>
      <c r="O88" s="18">
        <f>M67*Dashboard!$I$4</f>
        <v>21000</v>
      </c>
      <c r="P88" s="48"/>
      <c r="Q88" s="32">
        <f t="shared" si="24"/>
        <v>30</v>
      </c>
      <c r="R88" s="31">
        <f t="shared" si="14"/>
        <v>50340</v>
      </c>
      <c r="S88" s="31">
        <f t="shared" si="15"/>
        <v>52500</v>
      </c>
      <c r="T88" s="31">
        <f t="shared" si="27"/>
        <v>2160</v>
      </c>
      <c r="U88" s="31">
        <f>U87-R88+S88+V88-Custos!D88+Z87+AF87+AL87-AB87-AH87-AM87</f>
        <v>41552.070901738334</v>
      </c>
      <c r="V88" s="31">
        <f>U87*(((1+Dashboard!$C$17)^(1/30))-1)</f>
        <v>15.37887539405369</v>
      </c>
      <c r="W88" s="29">
        <f t="shared" si="16"/>
        <v>91892.070901738334</v>
      </c>
      <c r="X88" s="45">
        <f>-R88+S88-Custos!D88</f>
        <v>656.59999999999991</v>
      </c>
      <c r="Z88" s="83">
        <v>0</v>
      </c>
      <c r="AA88" s="33">
        <f>AC87*(((1+Dashboard!$C$20)^(1/30))-1)</f>
        <v>285.53186184894923</v>
      </c>
      <c r="AB88" s="84">
        <v>0</v>
      </c>
      <c r="AC88" s="18">
        <f t="shared" si="25"/>
        <v>623259.45489550114</v>
      </c>
      <c r="AD88" s="47">
        <f t="shared" si="17"/>
        <v>0</v>
      </c>
      <c r="AF88" s="83">
        <v>0</v>
      </c>
      <c r="AG88" s="33">
        <f>AI87*(((1+Dashboard!$C$21)^(1/30))-1)</f>
        <v>53.371205285571136</v>
      </c>
      <c r="AH88" s="84">
        <v>0</v>
      </c>
      <c r="AI88" s="29">
        <f t="shared" si="26"/>
        <v>104338.17647716259</v>
      </c>
      <c r="AJ88" s="45">
        <f t="shared" si="18"/>
        <v>0</v>
      </c>
      <c r="AL88" s="83">
        <v>0</v>
      </c>
      <c r="AM88" s="22">
        <v>0</v>
      </c>
      <c r="AN88" s="45">
        <f t="shared" si="19"/>
        <v>0</v>
      </c>
    </row>
    <row r="89" spans="2:40" x14ac:dyDescent="0.25">
      <c r="B89" s="53">
        <f>B88*(((1+Dashboard!$C$20)^(1/30)))</f>
        <v>1039241.8627118402</v>
      </c>
      <c r="C89" s="1">
        <v>85</v>
      </c>
      <c r="D89" s="51">
        <f t="shared" si="20"/>
        <v>46258</v>
      </c>
      <c r="E89" s="7">
        <f t="shared" si="21"/>
        <v>9</v>
      </c>
      <c r="F89" s="31">
        <f>E89*Dashboard!$I$3</f>
        <v>15102</v>
      </c>
      <c r="G89" s="18">
        <f>E72*Dashboard!$I$4</f>
        <v>15750</v>
      </c>
      <c r="H89" s="48"/>
      <c r="I89" s="7">
        <f t="shared" si="22"/>
        <v>9</v>
      </c>
      <c r="J89" s="31">
        <f>I89*Dashboard!$I$3</f>
        <v>15102</v>
      </c>
      <c r="K89" s="29">
        <f>I70*Dashboard!$I$4</f>
        <v>15750</v>
      </c>
      <c r="L89" s="48"/>
      <c r="M89" s="7">
        <f t="shared" si="23"/>
        <v>12</v>
      </c>
      <c r="N89" s="31">
        <f>M89*Dashboard!$I$3</f>
        <v>20136</v>
      </c>
      <c r="O89" s="18">
        <f>M68*Dashboard!$I$4</f>
        <v>21000</v>
      </c>
      <c r="P89" s="48"/>
      <c r="Q89" s="32">
        <f t="shared" si="24"/>
        <v>30</v>
      </c>
      <c r="R89" s="31">
        <f t="shared" si="14"/>
        <v>50340</v>
      </c>
      <c r="S89" s="31">
        <f t="shared" si="15"/>
        <v>52500</v>
      </c>
      <c r="T89" s="31">
        <f t="shared" si="27"/>
        <v>2160</v>
      </c>
      <c r="U89" s="31">
        <f>U88-R89+S89+V89-Custos!D89+Z88+AF88+AL88-AB88-AH88-AM88</f>
        <v>42224.302572047462</v>
      </c>
      <c r="V89" s="31">
        <f>U88*(((1+Dashboard!$C$17)^(1/30))-1)</f>
        <v>15.631670309130245</v>
      </c>
      <c r="W89" s="29">
        <f t="shared" si="16"/>
        <v>92564.302572047454</v>
      </c>
      <c r="X89" s="45">
        <f>-R89+S89-Custos!D89</f>
        <v>656.59999999999991</v>
      </c>
      <c r="Z89" s="83">
        <v>0</v>
      </c>
      <c r="AA89" s="33">
        <f>AC88*(((1+Dashboard!$C$20)^(1/30))-1)</f>
        <v>285.66273160306974</v>
      </c>
      <c r="AB89" s="84">
        <v>0</v>
      </c>
      <c r="AC89" s="18">
        <f t="shared" si="25"/>
        <v>623545.11762710416</v>
      </c>
      <c r="AD89" s="47">
        <f t="shared" si="17"/>
        <v>0</v>
      </c>
      <c r="AF89" s="83">
        <v>0</v>
      </c>
      <c r="AG89" s="33">
        <f>AI88*(((1+Dashboard!$C$21)^(1/30))-1)</f>
        <v>53.398519768694619</v>
      </c>
      <c r="AH89" s="84">
        <v>0</v>
      </c>
      <c r="AI89" s="29">
        <f t="shared" si="26"/>
        <v>104391.57499693129</v>
      </c>
      <c r="AJ89" s="45">
        <f t="shared" si="18"/>
        <v>0</v>
      </c>
      <c r="AL89" s="83">
        <v>0</v>
      </c>
      <c r="AM89" s="22">
        <v>0</v>
      </c>
      <c r="AN89" s="45">
        <f t="shared" si="19"/>
        <v>0</v>
      </c>
    </row>
    <row r="90" spans="2:40" x14ac:dyDescent="0.25">
      <c r="B90" s="53">
        <f>B89*(((1+Dashboard!$C$20)^(1/30)))</f>
        <v>1039718.1854807396</v>
      </c>
      <c r="C90" s="1">
        <v>86</v>
      </c>
      <c r="D90" s="51">
        <f t="shared" si="20"/>
        <v>46259</v>
      </c>
      <c r="E90" s="7">
        <f t="shared" si="21"/>
        <v>9</v>
      </c>
      <c r="F90" s="31">
        <f>E90*Dashboard!$I$3</f>
        <v>15102</v>
      </c>
      <c r="G90" s="18">
        <f>E73*Dashboard!$I$4</f>
        <v>15750</v>
      </c>
      <c r="H90" s="48"/>
      <c r="I90" s="7">
        <f t="shared" si="22"/>
        <v>9</v>
      </c>
      <c r="J90" s="31">
        <f>I90*Dashboard!$I$3</f>
        <v>15102</v>
      </c>
      <c r="K90" s="29">
        <f>I71*Dashboard!$I$4</f>
        <v>15750</v>
      </c>
      <c r="L90" s="48"/>
      <c r="M90" s="7">
        <f t="shared" si="23"/>
        <v>12</v>
      </c>
      <c r="N90" s="31">
        <f>M90*Dashboard!$I$3</f>
        <v>20136</v>
      </c>
      <c r="O90" s="18">
        <f>M69*Dashboard!$I$4</f>
        <v>21000</v>
      </c>
      <c r="P90" s="48"/>
      <c r="Q90" s="32">
        <f t="shared" si="24"/>
        <v>30</v>
      </c>
      <c r="R90" s="31">
        <f t="shared" si="14"/>
        <v>50340</v>
      </c>
      <c r="S90" s="31">
        <f t="shared" si="15"/>
        <v>52500</v>
      </c>
      <c r="T90" s="31">
        <f t="shared" si="27"/>
        <v>2160</v>
      </c>
      <c r="U90" s="31">
        <f>U89-R90+S90+V90-Custos!D90+Z89+AF89+AL89-AB89-AH89-AM89</f>
        <v>42896.787132371785</v>
      </c>
      <c r="V90" s="31">
        <f>U89*(((1+Dashboard!$C$17)^(1/30))-1)</f>
        <v>15.884560324322933</v>
      </c>
      <c r="W90" s="29">
        <f t="shared" si="16"/>
        <v>93236.787132371785</v>
      </c>
      <c r="X90" s="45">
        <f>-R90+S90-Custos!D90</f>
        <v>656.59999999999991</v>
      </c>
      <c r="Z90" s="83">
        <v>0</v>
      </c>
      <c r="AA90" s="33">
        <f>AC89*(((1+Dashboard!$C$20)^(1/30))-1)</f>
        <v>285.79366133961196</v>
      </c>
      <c r="AB90" s="84">
        <v>0</v>
      </c>
      <c r="AC90" s="18">
        <f t="shared" si="25"/>
        <v>623830.91128844372</v>
      </c>
      <c r="AD90" s="47">
        <f t="shared" si="17"/>
        <v>0</v>
      </c>
      <c r="AF90" s="83">
        <v>0</v>
      </c>
      <c r="AG90" s="33">
        <f>AI89*(((1+Dashboard!$C$21)^(1/30))-1)</f>
        <v>53.425848230910098</v>
      </c>
      <c r="AH90" s="84">
        <v>0</v>
      </c>
      <c r="AI90" s="29">
        <f t="shared" si="26"/>
        <v>104445.0008451622</v>
      </c>
      <c r="AJ90" s="45">
        <f t="shared" si="18"/>
        <v>0</v>
      </c>
      <c r="AL90" s="83">
        <v>0</v>
      </c>
      <c r="AM90" s="22">
        <v>0</v>
      </c>
      <c r="AN90" s="45">
        <f t="shared" si="19"/>
        <v>0</v>
      </c>
    </row>
    <row r="91" spans="2:40" x14ac:dyDescent="0.25">
      <c r="B91" s="53">
        <f>B90*(((1+Dashboard!$C$20)^(1/30)))</f>
        <v>1040194.726565883</v>
      </c>
      <c r="C91" s="1">
        <v>87</v>
      </c>
      <c r="D91" s="51">
        <f t="shared" si="20"/>
        <v>46260</v>
      </c>
      <c r="E91" s="7">
        <f t="shared" si="21"/>
        <v>9</v>
      </c>
      <c r="F91" s="31">
        <f>E91*Dashboard!$I$3</f>
        <v>15102</v>
      </c>
      <c r="G91" s="18">
        <f>E74*Dashboard!$I$4</f>
        <v>15750</v>
      </c>
      <c r="H91" s="48"/>
      <c r="I91" s="7">
        <f t="shared" si="22"/>
        <v>9</v>
      </c>
      <c r="J91" s="31">
        <f>I91*Dashboard!$I$3</f>
        <v>15102</v>
      </c>
      <c r="K91" s="29">
        <f>I72*Dashboard!$I$4</f>
        <v>15750</v>
      </c>
      <c r="L91" s="48"/>
      <c r="M91" s="7">
        <f t="shared" si="23"/>
        <v>12</v>
      </c>
      <c r="N91" s="31">
        <f>M91*Dashboard!$I$3</f>
        <v>20136</v>
      </c>
      <c r="O91" s="18">
        <f>M70*Dashboard!$I$4</f>
        <v>21000</v>
      </c>
      <c r="P91" s="48"/>
      <c r="Q91" s="32">
        <f t="shared" si="24"/>
        <v>30</v>
      </c>
      <c r="R91" s="31">
        <f t="shared" si="14"/>
        <v>50340</v>
      </c>
      <c r="S91" s="31">
        <f t="shared" si="15"/>
        <v>52500</v>
      </c>
      <c r="T91" s="31">
        <f t="shared" si="27"/>
        <v>2160</v>
      </c>
      <c r="U91" s="31">
        <f>U90-R91+S91+V91-Custos!D91+Z90+AF90+AL90-AB90-AH90-AM90</f>
        <v>43569.524677847192</v>
      </c>
      <c r="V91" s="31">
        <f>U90*(((1+Dashboard!$C$17)^(1/30))-1)</f>
        <v>16.137545475407915</v>
      </c>
      <c r="W91" s="29">
        <f t="shared" si="16"/>
        <v>93909.524677847192</v>
      </c>
      <c r="X91" s="45">
        <f>-R91+S91-Custos!D91</f>
        <v>656.59999999999991</v>
      </c>
      <c r="Z91" s="83">
        <v>0</v>
      </c>
      <c r="AA91" s="33">
        <f>AC90*(((1+Dashboard!$C$20)^(1/30))-1)</f>
        <v>285.92465108606802</v>
      </c>
      <c r="AB91" s="84">
        <v>0</v>
      </c>
      <c r="AC91" s="18">
        <f t="shared" si="25"/>
        <v>624116.83593952982</v>
      </c>
      <c r="AD91" s="47">
        <f t="shared" si="17"/>
        <v>0</v>
      </c>
      <c r="AF91" s="83">
        <v>0</v>
      </c>
      <c r="AG91" s="33">
        <f>AI90*(((1+Dashboard!$C$21)^(1/30))-1)</f>
        <v>53.453190679371822</v>
      </c>
      <c r="AH91" s="84">
        <v>0</v>
      </c>
      <c r="AI91" s="29">
        <f t="shared" si="26"/>
        <v>104498.45403584157</v>
      </c>
      <c r="AJ91" s="45">
        <f t="shared" si="18"/>
        <v>0</v>
      </c>
      <c r="AL91" s="83">
        <v>0</v>
      </c>
      <c r="AM91" s="22">
        <v>0</v>
      </c>
      <c r="AN91" s="45">
        <f t="shared" si="19"/>
        <v>0</v>
      </c>
    </row>
    <row r="92" spans="2:40" x14ac:dyDescent="0.25">
      <c r="B92" s="53">
        <f>B91*(((1+Dashboard!$C$20)^(1/30)))</f>
        <v>1040671.4860673329</v>
      </c>
      <c r="C92" s="1">
        <v>88</v>
      </c>
      <c r="D92" s="51">
        <f t="shared" si="20"/>
        <v>46261</v>
      </c>
      <c r="E92" s="7">
        <f t="shared" si="21"/>
        <v>9</v>
      </c>
      <c r="F92" s="31">
        <f>E92*Dashboard!$I$3</f>
        <v>15102</v>
      </c>
      <c r="G92" s="18">
        <f>E75*Dashboard!$I$4</f>
        <v>15750</v>
      </c>
      <c r="H92" s="48"/>
      <c r="I92" s="7">
        <f t="shared" si="22"/>
        <v>9</v>
      </c>
      <c r="J92" s="31">
        <f>I92*Dashboard!$I$3</f>
        <v>15102</v>
      </c>
      <c r="K92" s="29">
        <f>I73*Dashboard!$I$4</f>
        <v>15750</v>
      </c>
      <c r="L92" s="48"/>
      <c r="M92" s="7">
        <f t="shared" si="23"/>
        <v>12</v>
      </c>
      <c r="N92" s="31">
        <f>M92*Dashboard!$I$3</f>
        <v>20136</v>
      </c>
      <c r="O92" s="18">
        <f>M71*Dashboard!$I$4</f>
        <v>21000</v>
      </c>
      <c r="P92" s="48"/>
      <c r="Q92" s="32">
        <f t="shared" si="24"/>
        <v>30</v>
      </c>
      <c r="R92" s="31">
        <f t="shared" si="14"/>
        <v>50340</v>
      </c>
      <c r="S92" s="31">
        <f t="shared" si="15"/>
        <v>52500</v>
      </c>
      <c r="T92" s="31">
        <f t="shared" si="27"/>
        <v>2160</v>
      </c>
      <c r="U92" s="31">
        <f>U91-R92+S92+V92-Custos!D92+Z91+AF91+AL91-AB91-AH91-AM91</f>
        <v>44242.515303645363</v>
      </c>
      <c r="V92" s="31">
        <f>U91*(((1+Dashboard!$C$17)^(1/30))-1)</f>
        <v>16.390625798174817</v>
      </c>
      <c r="W92" s="29">
        <f t="shared" si="16"/>
        <v>94582.51530364537</v>
      </c>
      <c r="X92" s="45">
        <f>-R92+S92-Custos!D92</f>
        <v>656.59999999999991</v>
      </c>
      <c r="Z92" s="83">
        <v>0</v>
      </c>
      <c r="AA92" s="33">
        <f>AC91*(((1+Dashboard!$C$20)^(1/30))-1)</f>
        <v>286.05570086994271</v>
      </c>
      <c r="AB92" s="84">
        <v>0</v>
      </c>
      <c r="AC92" s="18">
        <f t="shared" si="25"/>
        <v>624402.89164039982</v>
      </c>
      <c r="AD92" s="47">
        <f t="shared" si="17"/>
        <v>0</v>
      </c>
      <c r="AF92" s="83">
        <v>0</v>
      </c>
      <c r="AG92" s="33">
        <f>AI91*(((1+Dashboard!$C$21)^(1/30))-1)</f>
        <v>53.480547121237734</v>
      </c>
      <c r="AH92" s="84">
        <v>0</v>
      </c>
      <c r="AI92" s="29">
        <f t="shared" si="26"/>
        <v>104551.9345829628</v>
      </c>
      <c r="AJ92" s="45">
        <f t="shared" si="18"/>
        <v>0</v>
      </c>
      <c r="AL92" s="83">
        <v>0</v>
      </c>
      <c r="AM92" s="22">
        <v>0</v>
      </c>
      <c r="AN92" s="45">
        <f t="shared" si="19"/>
        <v>0</v>
      </c>
    </row>
    <row r="93" spans="2:40" x14ac:dyDescent="0.25">
      <c r="B93" s="53">
        <f>B92*(((1+Dashboard!$C$20)^(1/30)))</f>
        <v>1041148.4640851975</v>
      </c>
      <c r="C93" s="1">
        <v>89</v>
      </c>
      <c r="D93" s="51">
        <f t="shared" si="20"/>
        <v>46262</v>
      </c>
      <c r="E93" s="7">
        <f t="shared" si="21"/>
        <v>9</v>
      </c>
      <c r="F93" s="31">
        <f>E93*Dashboard!$I$3</f>
        <v>15102</v>
      </c>
      <c r="G93" s="18">
        <f>E76*Dashboard!$I$4</f>
        <v>15750</v>
      </c>
      <c r="H93" s="48"/>
      <c r="I93" s="7">
        <f t="shared" si="22"/>
        <v>9</v>
      </c>
      <c r="J93" s="31">
        <f>I93*Dashboard!$I$3</f>
        <v>15102</v>
      </c>
      <c r="K93" s="29">
        <f>I74*Dashboard!$I$4</f>
        <v>15750</v>
      </c>
      <c r="L93" s="48"/>
      <c r="M93" s="7">
        <f t="shared" si="23"/>
        <v>12</v>
      </c>
      <c r="N93" s="31">
        <f>M93*Dashboard!$I$3</f>
        <v>20136</v>
      </c>
      <c r="O93" s="18">
        <f>M72*Dashboard!$I$4</f>
        <v>21000</v>
      </c>
      <c r="P93" s="48"/>
      <c r="Q93" s="32">
        <f t="shared" si="24"/>
        <v>30</v>
      </c>
      <c r="R93" s="31">
        <f t="shared" si="14"/>
        <v>50340</v>
      </c>
      <c r="S93" s="31">
        <f t="shared" si="15"/>
        <v>52500</v>
      </c>
      <c r="T93" s="31">
        <f t="shared" si="27"/>
        <v>2160</v>
      </c>
      <c r="U93" s="31">
        <f>U92-R93+S93+V93-Custos!D93+Z92+AF92+AL92-AB92-AH92-AM92</f>
        <v>44915.759104973789</v>
      </c>
      <c r="V93" s="31">
        <f>U92*(((1+Dashboard!$C$17)^(1/30))-1)</f>
        <v>16.643801328426719</v>
      </c>
      <c r="W93" s="29">
        <f t="shared" si="16"/>
        <v>95255.759104973782</v>
      </c>
      <c r="X93" s="45">
        <f>-R93+S93-Custos!D93</f>
        <v>656.59999999999991</v>
      </c>
      <c r="Z93" s="83">
        <v>0</v>
      </c>
      <c r="AA93" s="33">
        <f>AC92*(((1+Dashboard!$C$20)^(1/30))-1)</f>
        <v>286.18681071875335</v>
      </c>
      <c r="AB93" s="84">
        <v>0</v>
      </c>
      <c r="AC93" s="18">
        <f t="shared" si="25"/>
        <v>624689.07845111855</v>
      </c>
      <c r="AD93" s="47">
        <f t="shared" si="17"/>
        <v>0</v>
      </c>
      <c r="AF93" s="83">
        <v>0</v>
      </c>
      <c r="AG93" s="33">
        <f>AI92*(((1+Dashboard!$C$21)^(1/30))-1)</f>
        <v>53.507917563669402</v>
      </c>
      <c r="AH93" s="84">
        <v>0</v>
      </c>
      <c r="AI93" s="29">
        <f t="shared" si="26"/>
        <v>104605.44250052646</v>
      </c>
      <c r="AJ93" s="45">
        <f t="shared" si="18"/>
        <v>0</v>
      </c>
      <c r="AL93" s="83">
        <v>0</v>
      </c>
      <c r="AM93" s="22">
        <v>0</v>
      </c>
      <c r="AN93" s="45">
        <f t="shared" si="19"/>
        <v>0</v>
      </c>
    </row>
    <row r="94" spans="2:40" x14ac:dyDescent="0.25">
      <c r="B94" s="53">
        <f>B93*(((1+Dashboard!$C$20)^(1/30)))</f>
        <v>1041625.6607196309</v>
      </c>
      <c r="C94" s="1">
        <v>90</v>
      </c>
      <c r="D94" s="51">
        <f t="shared" si="20"/>
        <v>46263</v>
      </c>
      <c r="E94" s="7">
        <f t="shared" si="21"/>
        <v>9</v>
      </c>
      <c r="F94" s="31">
        <f>E94*Dashboard!$I$3</f>
        <v>15102</v>
      </c>
      <c r="G94" s="18">
        <f>E77*Dashboard!$I$4</f>
        <v>15750</v>
      </c>
      <c r="H94" s="48"/>
      <c r="I94" s="7">
        <f t="shared" si="22"/>
        <v>9</v>
      </c>
      <c r="J94" s="31">
        <f>I94*Dashboard!$I$3</f>
        <v>15102</v>
      </c>
      <c r="K94" s="29">
        <f>I75*Dashboard!$I$4</f>
        <v>15750</v>
      </c>
      <c r="L94" s="48"/>
      <c r="M94" s="7">
        <f t="shared" si="23"/>
        <v>12</v>
      </c>
      <c r="N94" s="31">
        <f>M94*Dashboard!$I$3</f>
        <v>20136</v>
      </c>
      <c r="O94" s="18">
        <f>M73*Dashboard!$I$4</f>
        <v>21000</v>
      </c>
      <c r="P94" s="48"/>
      <c r="Q94" s="32">
        <f t="shared" si="24"/>
        <v>30</v>
      </c>
      <c r="R94" s="31">
        <f t="shared" si="14"/>
        <v>50340</v>
      </c>
      <c r="S94" s="31">
        <f t="shared" si="15"/>
        <v>52500</v>
      </c>
      <c r="T94" s="31">
        <f t="shared" si="27"/>
        <v>2160</v>
      </c>
      <c r="U94" s="31">
        <f>U93-R94+S94+V94-Custos!D94+Z93+AF93+AL93-AB93-AH93-AM93</f>
        <v>45589.256177075767</v>
      </c>
      <c r="V94" s="31">
        <f>U93*(((1+Dashboard!$C$17)^(1/30))-1)</f>
        <v>16.897072101980182</v>
      </c>
      <c r="W94" s="29">
        <f t="shared" si="16"/>
        <v>95929.25617707576</v>
      </c>
      <c r="X94" s="45">
        <f>-R94+S94-Custos!D94</f>
        <v>656.59999999999991</v>
      </c>
      <c r="Z94" s="83">
        <v>0</v>
      </c>
      <c r="AA94" s="33">
        <f>AC93*(((1+Dashboard!$C$20)^(1/30))-1)</f>
        <v>286.31798066002989</v>
      </c>
      <c r="AB94" s="84">
        <v>0</v>
      </c>
      <c r="AC94" s="18">
        <f t="shared" si="25"/>
        <v>624975.39643177856</v>
      </c>
      <c r="AD94" s="47">
        <f t="shared" si="17"/>
        <v>0</v>
      </c>
      <c r="AF94" s="83">
        <v>0</v>
      </c>
      <c r="AG94" s="33">
        <f>AI93*(((1+Dashboard!$C$21)^(1/30))-1)</f>
        <v>53.535302013832094</v>
      </c>
      <c r="AH94" s="84">
        <v>0</v>
      </c>
      <c r="AI94" s="29">
        <f t="shared" si="26"/>
        <v>104658.97780254029</v>
      </c>
      <c r="AJ94" s="45">
        <f t="shared" si="18"/>
        <v>0</v>
      </c>
      <c r="AL94" s="83">
        <v>0</v>
      </c>
      <c r="AM94" s="22">
        <v>0</v>
      </c>
      <c r="AN94" s="45">
        <f t="shared" si="19"/>
        <v>0</v>
      </c>
    </row>
    <row r="95" spans="2:40" x14ac:dyDescent="0.25">
      <c r="B95" s="53">
        <f>B94*(((1+Dashboard!$C$20)^(1/30)))</f>
        <v>1042103.0760708331</v>
      </c>
      <c r="C95" s="1">
        <v>91</v>
      </c>
      <c r="D95" s="51">
        <f t="shared" si="20"/>
        <v>46264</v>
      </c>
      <c r="E95" s="7">
        <f t="shared" si="21"/>
        <v>9</v>
      </c>
      <c r="F95" s="31">
        <f>E95*Dashboard!$I$3</f>
        <v>15102</v>
      </c>
      <c r="G95" s="18">
        <f>E78*Dashboard!$I$4</f>
        <v>15750</v>
      </c>
      <c r="H95" s="48"/>
      <c r="I95" s="7">
        <f t="shared" si="22"/>
        <v>9</v>
      </c>
      <c r="J95" s="31">
        <f>I95*Dashboard!$I$3</f>
        <v>15102</v>
      </c>
      <c r="K95" s="29">
        <f>I76*Dashboard!$I$4</f>
        <v>15750</v>
      </c>
      <c r="L95" s="48"/>
      <c r="M95" s="7">
        <f t="shared" si="23"/>
        <v>12</v>
      </c>
      <c r="N95" s="31">
        <f>M95*Dashboard!$I$3</f>
        <v>20136</v>
      </c>
      <c r="O95" s="18">
        <f>M74*Dashboard!$I$4</f>
        <v>21000</v>
      </c>
      <c r="P95" s="48"/>
      <c r="Q95" s="32">
        <f t="shared" si="24"/>
        <v>30</v>
      </c>
      <c r="R95" s="31">
        <f t="shared" si="14"/>
        <v>50340</v>
      </c>
      <c r="S95" s="31">
        <f t="shared" si="15"/>
        <v>52500</v>
      </c>
      <c r="T95" s="31">
        <f t="shared" si="27"/>
        <v>2160</v>
      </c>
      <c r="U95" s="31">
        <f>U94-R95+S95+V95-Custos!D95+Z94+AF94+AL94-AB94-AH94-AM94</f>
        <v>46263.006615230428</v>
      </c>
      <c r="V95" s="31">
        <f>U94*(((1+Dashboard!$C$17)^(1/30))-1)</f>
        <v>17.150438154665228</v>
      </c>
      <c r="W95" s="29">
        <f t="shared" si="16"/>
        <v>96603.006615230435</v>
      </c>
      <c r="X95" s="45">
        <f>-R95+S95-Custos!D95</f>
        <v>656.59999999999991</v>
      </c>
      <c r="Z95" s="83">
        <v>0</v>
      </c>
      <c r="AA95" s="33">
        <f>AC94*(((1+Dashboard!$C$20)^(1/30))-1)</f>
        <v>286.4492107213149</v>
      </c>
      <c r="AB95" s="84">
        <v>0</v>
      </c>
      <c r="AC95" s="18">
        <f t="shared" si="25"/>
        <v>625261.84564249986</v>
      </c>
      <c r="AD95" s="47">
        <f t="shared" si="17"/>
        <v>0</v>
      </c>
      <c r="AF95" s="83">
        <v>0</v>
      </c>
      <c r="AG95" s="33">
        <f>AI94*(((1+Dashboard!$C$21)^(1/30))-1)</f>
        <v>53.562700478894726</v>
      </c>
      <c r="AH95" s="84">
        <v>0</v>
      </c>
      <c r="AI95" s="29">
        <f t="shared" si="26"/>
        <v>104712.54050301919</v>
      </c>
      <c r="AJ95" s="45">
        <f t="shared" si="18"/>
        <v>0</v>
      </c>
      <c r="AL95" s="83">
        <v>0</v>
      </c>
      <c r="AM95" s="22">
        <v>0</v>
      </c>
      <c r="AN95" s="45">
        <f t="shared" si="19"/>
        <v>0</v>
      </c>
    </row>
    <row r="96" spans="2:40" x14ac:dyDescent="0.25">
      <c r="B96" s="53">
        <f>B95*(((1+Dashboard!$C$20)^(1/30)))</f>
        <v>1042580.7102390501</v>
      </c>
      <c r="C96" s="1">
        <v>92</v>
      </c>
      <c r="D96" s="51">
        <f t="shared" si="20"/>
        <v>46265</v>
      </c>
      <c r="E96" s="7">
        <f t="shared" si="21"/>
        <v>9</v>
      </c>
      <c r="F96" s="31">
        <f>E96*Dashboard!$I$3</f>
        <v>15102</v>
      </c>
      <c r="G96" s="18">
        <f>E79*Dashboard!$I$4</f>
        <v>15750</v>
      </c>
      <c r="H96" s="48"/>
      <c r="I96" s="7">
        <f t="shared" si="22"/>
        <v>9</v>
      </c>
      <c r="J96" s="31">
        <f>I96*Dashboard!$I$3</f>
        <v>15102</v>
      </c>
      <c r="K96" s="29">
        <f>I77*Dashboard!$I$4</f>
        <v>15750</v>
      </c>
      <c r="L96" s="48"/>
      <c r="M96" s="7">
        <f t="shared" si="23"/>
        <v>12</v>
      </c>
      <c r="N96" s="31">
        <f>M96*Dashboard!$I$3</f>
        <v>20136</v>
      </c>
      <c r="O96" s="18">
        <f>M75*Dashboard!$I$4</f>
        <v>21000</v>
      </c>
      <c r="P96" s="48"/>
      <c r="Q96" s="32">
        <f t="shared" si="24"/>
        <v>30</v>
      </c>
      <c r="R96" s="31">
        <f t="shared" si="14"/>
        <v>50340</v>
      </c>
      <c r="S96" s="31">
        <f t="shared" si="15"/>
        <v>52500</v>
      </c>
      <c r="T96" s="31">
        <f t="shared" si="27"/>
        <v>2160</v>
      </c>
      <c r="U96" s="31">
        <f>U95-R96+S96+V96-Custos!D96+Z95+AF95+AL95-AB95-AH95-AM95</f>
        <v>46937.01051475275</v>
      </c>
      <c r="V96" s="31">
        <f>U95*(((1+Dashboard!$C$17)^(1/30))-1)</f>
        <v>17.403899522325368</v>
      </c>
      <c r="W96" s="29">
        <f t="shared" si="16"/>
        <v>97277.01051475275</v>
      </c>
      <c r="X96" s="45">
        <f>-R96+S96-Custos!D96</f>
        <v>656.59999999999991</v>
      </c>
      <c r="Z96" s="83">
        <v>0</v>
      </c>
      <c r="AA96" s="33">
        <f>AC95*(((1+Dashboard!$C$20)^(1/30))-1)</f>
        <v>286.58050093016368</v>
      </c>
      <c r="AB96" s="84">
        <v>0</v>
      </c>
      <c r="AC96" s="18">
        <f t="shared" si="25"/>
        <v>625548.42614343006</v>
      </c>
      <c r="AD96" s="47">
        <f t="shared" si="17"/>
        <v>0</v>
      </c>
      <c r="AF96" s="83">
        <v>0</v>
      </c>
      <c r="AG96" s="33">
        <f>AI95*(((1+Dashboard!$C$21)^(1/30))-1)</f>
        <v>53.590112966029892</v>
      </c>
      <c r="AH96" s="84">
        <v>0</v>
      </c>
      <c r="AI96" s="29">
        <f t="shared" si="26"/>
        <v>104766.13061598522</v>
      </c>
      <c r="AJ96" s="45">
        <f t="shared" si="18"/>
        <v>0</v>
      </c>
      <c r="AL96" s="83">
        <v>0</v>
      </c>
      <c r="AM96" s="22">
        <v>0</v>
      </c>
      <c r="AN96" s="45">
        <f t="shared" si="19"/>
        <v>0</v>
      </c>
    </row>
    <row r="97" spans="2:40" x14ac:dyDescent="0.25">
      <c r="B97" s="53">
        <f>B96*(((1+Dashboard!$C$20)^(1/30)))</f>
        <v>1043058.5633245737</v>
      </c>
      <c r="C97" s="1">
        <v>93</v>
      </c>
      <c r="D97" s="51">
        <f t="shared" si="20"/>
        <v>46266</v>
      </c>
      <c r="E97" s="7">
        <f t="shared" si="21"/>
        <v>9</v>
      </c>
      <c r="F97" s="31">
        <f>E97*Dashboard!$I$3</f>
        <v>15102</v>
      </c>
      <c r="G97" s="18">
        <f>E80*Dashboard!$I$4</f>
        <v>15750</v>
      </c>
      <c r="H97" s="48"/>
      <c r="I97" s="7">
        <f t="shared" si="22"/>
        <v>9</v>
      </c>
      <c r="J97" s="31">
        <f>I97*Dashboard!$I$3</f>
        <v>15102</v>
      </c>
      <c r="K97" s="29">
        <f>I78*Dashboard!$I$4</f>
        <v>15750</v>
      </c>
      <c r="L97" s="48"/>
      <c r="M97" s="7">
        <f t="shared" si="23"/>
        <v>12</v>
      </c>
      <c r="N97" s="31">
        <f>M97*Dashboard!$I$3</f>
        <v>20136</v>
      </c>
      <c r="O97" s="18">
        <f>M76*Dashboard!$I$4</f>
        <v>21000</v>
      </c>
      <c r="P97" s="48"/>
      <c r="Q97" s="32">
        <f t="shared" si="24"/>
        <v>30</v>
      </c>
      <c r="R97" s="31">
        <f t="shared" si="14"/>
        <v>50340</v>
      </c>
      <c r="S97" s="31">
        <f t="shared" si="15"/>
        <v>52500</v>
      </c>
      <c r="T97" s="31">
        <f t="shared" si="27"/>
        <v>2160</v>
      </c>
      <c r="U97" s="31">
        <f>U96-R97+S97+V97-Custos!D97+Z96+AF96+AL96-AB96-AH96-AM96</f>
        <v>47611.267970993569</v>
      </c>
      <c r="V97" s="31">
        <f>U96*(((1+Dashboard!$C$17)^(1/30))-1)</f>
        <v>17.657456240817595</v>
      </c>
      <c r="W97" s="29">
        <f t="shared" si="16"/>
        <v>97951.267970993562</v>
      </c>
      <c r="X97" s="45">
        <f>-R97+S97-Custos!D97</f>
        <v>656.59999999999991</v>
      </c>
      <c r="Z97" s="83">
        <v>0</v>
      </c>
      <c r="AA97" s="33">
        <f>AC96*(((1+Dashboard!$C$20)^(1/30))-1)</f>
        <v>286.71185131414398</v>
      </c>
      <c r="AB97" s="84">
        <v>0</v>
      </c>
      <c r="AC97" s="18">
        <f t="shared" si="25"/>
        <v>625835.13799474423</v>
      </c>
      <c r="AD97" s="47">
        <f t="shared" si="17"/>
        <v>0</v>
      </c>
      <c r="AF97" s="83">
        <v>0</v>
      </c>
      <c r="AG97" s="33">
        <f>AI96*(((1+Dashboard!$C$21)^(1/30))-1)</f>
        <v>53.617539482413854</v>
      </c>
      <c r="AH97" s="84">
        <v>0</v>
      </c>
      <c r="AI97" s="29">
        <f t="shared" si="26"/>
        <v>104819.74815546763</v>
      </c>
      <c r="AJ97" s="45">
        <f t="shared" si="18"/>
        <v>0</v>
      </c>
      <c r="AL97" s="83">
        <v>0</v>
      </c>
      <c r="AM97" s="22">
        <v>0</v>
      </c>
      <c r="AN97" s="45">
        <f t="shared" si="19"/>
        <v>0</v>
      </c>
    </row>
    <row r="98" spans="2:40" x14ac:dyDescent="0.25">
      <c r="B98" s="53">
        <f>B97*(((1+Dashboard!$C$20)^(1/30)))</f>
        <v>1043536.6354277418</v>
      </c>
      <c r="C98" s="1">
        <v>94</v>
      </c>
      <c r="D98" s="51">
        <f t="shared" si="20"/>
        <v>46267</v>
      </c>
      <c r="E98" s="7">
        <f t="shared" si="21"/>
        <v>9</v>
      </c>
      <c r="F98" s="31">
        <f>E98*Dashboard!$I$3</f>
        <v>15102</v>
      </c>
      <c r="G98" s="18">
        <f>E81*Dashboard!$I$4</f>
        <v>15750</v>
      </c>
      <c r="H98" s="48"/>
      <c r="I98" s="7">
        <f t="shared" si="22"/>
        <v>9</v>
      </c>
      <c r="J98" s="31">
        <f>I98*Dashboard!$I$3</f>
        <v>15102</v>
      </c>
      <c r="K98" s="29">
        <f>I79*Dashboard!$I$4</f>
        <v>15750</v>
      </c>
      <c r="L98" s="48"/>
      <c r="M98" s="7">
        <f t="shared" si="23"/>
        <v>12</v>
      </c>
      <c r="N98" s="31">
        <f>M98*Dashboard!$I$3</f>
        <v>20136</v>
      </c>
      <c r="O98" s="18">
        <f>M77*Dashboard!$I$4</f>
        <v>21000</v>
      </c>
      <c r="P98" s="48"/>
      <c r="Q98" s="32">
        <f t="shared" si="24"/>
        <v>30</v>
      </c>
      <c r="R98" s="31">
        <f t="shared" si="14"/>
        <v>50340</v>
      </c>
      <c r="S98" s="31">
        <f t="shared" si="15"/>
        <v>52500</v>
      </c>
      <c r="T98" s="31">
        <f t="shared" si="27"/>
        <v>2160</v>
      </c>
      <c r="U98" s="31">
        <f>U97-R98+S98+V98-Custos!D98+Z97+AF97+AL97-AB97-AH97-AM97</f>
        <v>48285.779079339583</v>
      </c>
      <c r="V98" s="31">
        <f>U97*(((1+Dashboard!$C$17)^(1/30))-1)</f>
        <v>17.911108346012387</v>
      </c>
      <c r="W98" s="29">
        <f t="shared" si="16"/>
        <v>98625.779079339583</v>
      </c>
      <c r="X98" s="45">
        <f>-R98+S98-Custos!D98</f>
        <v>656.59999999999991</v>
      </c>
      <c r="Z98" s="83">
        <v>0</v>
      </c>
      <c r="AA98" s="33">
        <f>AC97*(((1+Dashboard!$C$20)^(1/30))-1)</f>
        <v>286.84326190083635</v>
      </c>
      <c r="AB98" s="84">
        <v>0</v>
      </c>
      <c r="AC98" s="18">
        <f t="shared" si="25"/>
        <v>626121.98125664506</v>
      </c>
      <c r="AD98" s="47">
        <f t="shared" si="17"/>
        <v>0</v>
      </c>
      <c r="AF98" s="83">
        <v>0</v>
      </c>
      <c r="AG98" s="33">
        <f>AI97*(((1+Dashboard!$C$21)^(1/30))-1)</f>
        <v>53.644980035226531</v>
      </c>
      <c r="AH98" s="84">
        <v>0</v>
      </c>
      <c r="AI98" s="29">
        <f t="shared" si="26"/>
        <v>104873.39313550286</v>
      </c>
      <c r="AJ98" s="45">
        <f t="shared" si="18"/>
        <v>0</v>
      </c>
      <c r="AL98" s="83">
        <v>0</v>
      </c>
      <c r="AM98" s="22">
        <v>0</v>
      </c>
      <c r="AN98" s="45">
        <f t="shared" si="19"/>
        <v>0</v>
      </c>
    </row>
    <row r="99" spans="2:40" x14ac:dyDescent="0.25">
      <c r="B99" s="53">
        <f>B98*(((1+Dashboard!$C$20)^(1/30)))</f>
        <v>1044014.9266489382</v>
      </c>
      <c r="C99" s="1">
        <v>95</v>
      </c>
      <c r="D99" s="51">
        <f t="shared" si="20"/>
        <v>46268</v>
      </c>
      <c r="E99" s="7">
        <f t="shared" si="21"/>
        <v>9</v>
      </c>
      <c r="F99" s="31">
        <f>E99*Dashboard!$I$3</f>
        <v>15102</v>
      </c>
      <c r="G99" s="18">
        <f>E82*Dashboard!$I$4</f>
        <v>15750</v>
      </c>
      <c r="H99" s="48"/>
      <c r="I99" s="7">
        <f t="shared" si="22"/>
        <v>9</v>
      </c>
      <c r="J99" s="31">
        <f>I99*Dashboard!$I$3</f>
        <v>15102</v>
      </c>
      <c r="K99" s="29">
        <f>I80*Dashboard!$I$4</f>
        <v>15750</v>
      </c>
      <c r="L99" s="48"/>
      <c r="M99" s="7">
        <f t="shared" si="23"/>
        <v>12</v>
      </c>
      <c r="N99" s="31">
        <f>M99*Dashboard!$I$3</f>
        <v>20136</v>
      </c>
      <c r="O99" s="18">
        <f>M78*Dashboard!$I$4</f>
        <v>21000</v>
      </c>
      <c r="P99" s="48"/>
      <c r="Q99" s="32">
        <f t="shared" si="24"/>
        <v>30</v>
      </c>
      <c r="R99" s="31">
        <f t="shared" si="14"/>
        <v>50340</v>
      </c>
      <c r="S99" s="31">
        <f t="shared" si="15"/>
        <v>52500</v>
      </c>
      <c r="T99" s="31">
        <f t="shared" si="27"/>
        <v>2160</v>
      </c>
      <c r="U99" s="31">
        <f>U98-R99+S99+V99-Custos!D99+Z98+AF98+AL98-AB98-AH98-AM98</f>
        <v>48960.543935213376</v>
      </c>
      <c r="V99" s="31">
        <f>U98*(((1+Dashboard!$C$17)^(1/30))-1)</f>
        <v>18.164855873793726</v>
      </c>
      <c r="W99" s="29">
        <f t="shared" si="16"/>
        <v>99300.543935213384</v>
      </c>
      <c r="X99" s="45">
        <f>-R99+S99-Custos!D99</f>
        <v>656.59999999999991</v>
      </c>
      <c r="Z99" s="83">
        <v>0</v>
      </c>
      <c r="AA99" s="33">
        <f>AC98*(((1+Dashboard!$C$20)^(1/30))-1)</f>
        <v>286.97473271783383</v>
      </c>
      <c r="AB99" s="84">
        <v>0</v>
      </c>
      <c r="AC99" s="18">
        <f t="shared" si="25"/>
        <v>626408.9559893629</v>
      </c>
      <c r="AD99" s="47">
        <f t="shared" si="17"/>
        <v>0</v>
      </c>
      <c r="AF99" s="83">
        <v>0</v>
      </c>
      <c r="AG99" s="33">
        <f>AI98*(((1+Dashboard!$C$21)^(1/30))-1)</f>
        <v>53.672434631651548</v>
      </c>
      <c r="AH99" s="84">
        <v>0</v>
      </c>
      <c r="AI99" s="29">
        <f t="shared" si="26"/>
        <v>104927.06557013451</v>
      </c>
      <c r="AJ99" s="45">
        <f t="shared" si="18"/>
        <v>0</v>
      </c>
      <c r="AL99" s="83">
        <v>0</v>
      </c>
      <c r="AM99" s="22">
        <v>0</v>
      </c>
      <c r="AN99" s="45">
        <f t="shared" si="19"/>
        <v>0</v>
      </c>
    </row>
    <row r="100" spans="2:40" x14ac:dyDescent="0.25">
      <c r="B100" s="53">
        <f>B99*(((1+Dashboard!$C$20)^(1/30)))</f>
        <v>1044493.4370885928</v>
      </c>
      <c r="C100" s="1">
        <v>96</v>
      </c>
      <c r="D100" s="51">
        <f t="shared" si="20"/>
        <v>46269</v>
      </c>
      <c r="E100" s="7">
        <f t="shared" si="21"/>
        <v>9</v>
      </c>
      <c r="F100" s="31">
        <f>E100*Dashboard!$I$3</f>
        <v>15102</v>
      </c>
      <c r="G100" s="18">
        <f>E83*Dashboard!$I$4</f>
        <v>15750</v>
      </c>
      <c r="H100" s="48"/>
      <c r="I100" s="7">
        <f t="shared" si="22"/>
        <v>9</v>
      </c>
      <c r="J100" s="31">
        <f>I100*Dashboard!$I$3</f>
        <v>15102</v>
      </c>
      <c r="K100" s="29">
        <f>I81*Dashboard!$I$4</f>
        <v>15750</v>
      </c>
      <c r="L100" s="48"/>
      <c r="M100" s="7">
        <f t="shared" si="23"/>
        <v>12</v>
      </c>
      <c r="N100" s="31">
        <f>M100*Dashboard!$I$3</f>
        <v>20136</v>
      </c>
      <c r="O100" s="18">
        <f>M79*Dashboard!$I$4</f>
        <v>21000</v>
      </c>
      <c r="P100" s="48"/>
      <c r="Q100" s="32">
        <f t="shared" si="24"/>
        <v>30</v>
      </c>
      <c r="R100" s="31">
        <f t="shared" si="14"/>
        <v>50340</v>
      </c>
      <c r="S100" s="31">
        <f t="shared" si="15"/>
        <v>52500</v>
      </c>
      <c r="T100" s="31">
        <f t="shared" si="27"/>
        <v>2160</v>
      </c>
      <c r="U100" s="31">
        <f>U99-R100+S100+V100-Custos!D100+Z99+AF99+AL99-AB99-AH99-AM99</f>
        <v>49635.562634073431</v>
      </c>
      <c r="V100" s="31">
        <f>U99*(((1+Dashboard!$C$17)^(1/30))-1)</f>
        <v>18.418698860059077</v>
      </c>
      <c r="W100" s="29">
        <f t="shared" si="16"/>
        <v>99975.562634073431</v>
      </c>
      <c r="X100" s="45">
        <f>-R100+S100-Custos!D100</f>
        <v>656.59999999999991</v>
      </c>
      <c r="Z100" s="83">
        <v>0</v>
      </c>
      <c r="AA100" s="33">
        <f>AC99*(((1+Dashboard!$C$20)^(1/30))-1)</f>
        <v>287.10626379274225</v>
      </c>
      <c r="AB100" s="84">
        <v>0</v>
      </c>
      <c r="AC100" s="18">
        <f t="shared" si="25"/>
        <v>626696.06225315563</v>
      </c>
      <c r="AD100" s="47">
        <f t="shared" si="17"/>
        <v>0</v>
      </c>
      <c r="AF100" s="83">
        <v>0</v>
      </c>
      <c r="AG100" s="33">
        <f>AI99*(((1+Dashboard!$C$21)^(1/30))-1)</f>
        <v>53.699903278876171</v>
      </c>
      <c r="AH100" s="84">
        <v>0</v>
      </c>
      <c r="AI100" s="29">
        <f t="shared" si="26"/>
        <v>104980.76547341338</v>
      </c>
      <c r="AJ100" s="45">
        <f t="shared" si="18"/>
        <v>0</v>
      </c>
      <c r="AL100" s="83">
        <v>0</v>
      </c>
      <c r="AM100" s="22">
        <v>0</v>
      </c>
      <c r="AN100" s="45">
        <f t="shared" si="19"/>
        <v>0</v>
      </c>
    </row>
    <row r="101" spans="2:40" x14ac:dyDescent="0.25">
      <c r="B101" s="53">
        <f>B100*(((1+Dashboard!$C$20)^(1/30)))</f>
        <v>1044972.1668471814</v>
      </c>
      <c r="C101" s="1">
        <v>97</v>
      </c>
      <c r="D101" s="51">
        <f t="shared" si="20"/>
        <v>46270</v>
      </c>
      <c r="E101" s="7">
        <f t="shared" si="21"/>
        <v>9</v>
      </c>
      <c r="F101" s="31">
        <f>E101*Dashboard!$I$3</f>
        <v>15102</v>
      </c>
      <c r="G101" s="18">
        <f>E84*Dashboard!$I$4</f>
        <v>15750</v>
      </c>
      <c r="H101" s="48"/>
      <c r="I101" s="7">
        <f t="shared" si="22"/>
        <v>9</v>
      </c>
      <c r="J101" s="31">
        <f>I101*Dashboard!$I$3</f>
        <v>15102</v>
      </c>
      <c r="K101" s="29">
        <f>I82*Dashboard!$I$4</f>
        <v>15750</v>
      </c>
      <c r="L101" s="48"/>
      <c r="M101" s="7">
        <f t="shared" si="23"/>
        <v>12</v>
      </c>
      <c r="N101" s="31">
        <f>M101*Dashboard!$I$3</f>
        <v>20136</v>
      </c>
      <c r="O101" s="18">
        <f>M80*Dashboard!$I$4</f>
        <v>21000</v>
      </c>
      <c r="P101" s="48"/>
      <c r="Q101" s="32">
        <f t="shared" si="24"/>
        <v>30</v>
      </c>
      <c r="R101" s="31">
        <f t="shared" si="14"/>
        <v>50340</v>
      </c>
      <c r="S101" s="31">
        <f t="shared" si="15"/>
        <v>52500</v>
      </c>
      <c r="T101" s="31">
        <f t="shared" si="27"/>
        <v>2160</v>
      </c>
      <c r="U101" s="31">
        <f>U100-R101+S101+V101-Custos!D101+Z100+AF100+AL100-AB100-AH100-AM100</f>
        <v>50310.835271414151</v>
      </c>
      <c r="V101" s="31">
        <f>U100*(((1+Dashboard!$C$17)^(1/30))-1)</f>
        <v>18.672637340719426</v>
      </c>
      <c r="W101" s="29">
        <f t="shared" si="16"/>
        <v>100650.83527141415</v>
      </c>
      <c r="X101" s="45">
        <f>-R101+S101-Custos!D101</f>
        <v>656.59999999999991</v>
      </c>
      <c r="Z101" s="83">
        <v>0</v>
      </c>
      <c r="AA101" s="33">
        <f>AC100*(((1+Dashboard!$C$20)^(1/30))-1)</f>
        <v>287.23785515318002</v>
      </c>
      <c r="AB101" s="84">
        <v>0</v>
      </c>
      <c r="AC101" s="18">
        <f t="shared" si="25"/>
        <v>626983.30010830879</v>
      </c>
      <c r="AD101" s="47">
        <f t="shared" si="17"/>
        <v>0</v>
      </c>
      <c r="AF101" s="83">
        <v>0</v>
      </c>
      <c r="AG101" s="33">
        <f>AI100*(((1+Dashboard!$C$21)^(1/30))-1)</f>
        <v>53.727385984091377</v>
      </c>
      <c r="AH101" s="84">
        <v>0</v>
      </c>
      <c r="AI101" s="29">
        <f t="shared" si="26"/>
        <v>105034.49285939748</v>
      </c>
      <c r="AJ101" s="45">
        <f t="shared" si="18"/>
        <v>0</v>
      </c>
      <c r="AL101" s="83">
        <v>0</v>
      </c>
      <c r="AM101" s="22">
        <v>0</v>
      </c>
      <c r="AN101" s="45">
        <f t="shared" si="19"/>
        <v>0</v>
      </c>
    </row>
    <row r="102" spans="2:40" x14ac:dyDescent="0.25">
      <c r="B102" s="53">
        <f>B101*(((1+Dashboard!$C$20)^(1/30)))</f>
        <v>1045451.1160252261</v>
      </c>
      <c r="C102" s="1">
        <v>98</v>
      </c>
      <c r="D102" s="51">
        <f t="shared" si="20"/>
        <v>46271</v>
      </c>
      <c r="E102" s="7">
        <f t="shared" si="21"/>
        <v>9</v>
      </c>
      <c r="F102" s="31">
        <f>E102*Dashboard!$I$3</f>
        <v>15102</v>
      </c>
      <c r="G102" s="18">
        <f>E85*Dashboard!$I$4</f>
        <v>15750</v>
      </c>
      <c r="H102" s="48"/>
      <c r="I102" s="7">
        <f t="shared" si="22"/>
        <v>9</v>
      </c>
      <c r="J102" s="31">
        <f>I102*Dashboard!$I$3</f>
        <v>15102</v>
      </c>
      <c r="K102" s="29">
        <f>I83*Dashboard!$I$4</f>
        <v>15750</v>
      </c>
      <c r="L102" s="48"/>
      <c r="M102" s="7">
        <f t="shared" si="23"/>
        <v>12</v>
      </c>
      <c r="N102" s="31">
        <f>M102*Dashboard!$I$3</f>
        <v>20136</v>
      </c>
      <c r="O102" s="18">
        <f>M81*Dashboard!$I$4</f>
        <v>21000</v>
      </c>
      <c r="P102" s="48"/>
      <c r="Q102" s="32">
        <f t="shared" si="24"/>
        <v>30</v>
      </c>
      <c r="R102" s="31">
        <f t="shared" si="14"/>
        <v>50340</v>
      </c>
      <c r="S102" s="31">
        <f t="shared" si="15"/>
        <v>52500</v>
      </c>
      <c r="T102" s="31">
        <f t="shared" si="27"/>
        <v>2160</v>
      </c>
      <c r="U102" s="31">
        <f>U101-R102+S102+V102-Custos!D102+Z101+AF101+AL101-AB101-AH101-AM101</f>
        <v>50986.361942765849</v>
      </c>
      <c r="V102" s="31">
        <f>U101*(((1+Dashboard!$C$17)^(1/30))-1)</f>
        <v>18.926671351699259</v>
      </c>
      <c r="W102" s="29">
        <f t="shared" si="16"/>
        <v>101326.36194276586</v>
      </c>
      <c r="X102" s="45">
        <f>-R102+S102-Custos!D102</f>
        <v>656.59999999999991</v>
      </c>
      <c r="Z102" s="83">
        <v>0</v>
      </c>
      <c r="AA102" s="33">
        <f>AC101*(((1+Dashboard!$C$20)^(1/30))-1)</f>
        <v>287.36950682677815</v>
      </c>
      <c r="AB102" s="84">
        <v>0</v>
      </c>
      <c r="AC102" s="18">
        <f t="shared" si="25"/>
        <v>627270.66961513553</v>
      </c>
      <c r="AD102" s="47">
        <f t="shared" si="17"/>
        <v>0</v>
      </c>
      <c r="AF102" s="83">
        <v>0</v>
      </c>
      <c r="AG102" s="33">
        <f>AI101*(((1+Dashboard!$C$21)^(1/30))-1)</f>
        <v>53.75488275449181</v>
      </c>
      <c r="AH102" s="84">
        <v>0</v>
      </c>
      <c r="AI102" s="29">
        <f t="shared" si="26"/>
        <v>105088.24774215197</v>
      </c>
      <c r="AJ102" s="45">
        <f t="shared" si="18"/>
        <v>0</v>
      </c>
      <c r="AL102" s="83">
        <v>0</v>
      </c>
      <c r="AM102" s="22">
        <v>0</v>
      </c>
      <c r="AN102" s="45">
        <f t="shared" si="19"/>
        <v>0</v>
      </c>
    </row>
    <row r="103" spans="2:40" x14ac:dyDescent="0.25">
      <c r="B103" s="53">
        <f>B102*(((1+Dashboard!$C$20)^(1/30)))</f>
        <v>1045930.2847232947</v>
      </c>
      <c r="C103" s="1">
        <v>99</v>
      </c>
      <c r="D103" s="51">
        <f t="shared" si="20"/>
        <v>46272</v>
      </c>
      <c r="E103" s="7">
        <f t="shared" si="21"/>
        <v>9</v>
      </c>
      <c r="F103" s="31">
        <f>E103*Dashboard!$I$3</f>
        <v>15102</v>
      </c>
      <c r="G103" s="18">
        <f>E86*Dashboard!$I$4</f>
        <v>15750</v>
      </c>
      <c r="H103" s="48"/>
      <c r="I103" s="7">
        <f t="shared" si="22"/>
        <v>9</v>
      </c>
      <c r="J103" s="31">
        <f>I103*Dashboard!$I$3</f>
        <v>15102</v>
      </c>
      <c r="K103" s="29">
        <f>I84*Dashboard!$I$4</f>
        <v>15750</v>
      </c>
      <c r="L103" s="48"/>
      <c r="M103" s="7">
        <f t="shared" si="23"/>
        <v>12</v>
      </c>
      <c r="N103" s="31">
        <f>M103*Dashboard!$I$3</f>
        <v>20136</v>
      </c>
      <c r="O103" s="18">
        <f>M82*Dashboard!$I$4</f>
        <v>21000</v>
      </c>
      <c r="P103" s="48"/>
      <c r="Q103" s="32">
        <f t="shared" si="24"/>
        <v>30</v>
      </c>
      <c r="R103" s="31">
        <f t="shared" si="14"/>
        <v>50340</v>
      </c>
      <c r="S103" s="31">
        <f t="shared" si="15"/>
        <v>52500</v>
      </c>
      <c r="T103" s="31">
        <f t="shared" si="27"/>
        <v>2160</v>
      </c>
      <c r="U103" s="31">
        <f>U102-R103+S103+V103-Custos!D103+Z102+AF102+AL102-AB102-AH102-AM102</f>
        <v>51662.142743694785</v>
      </c>
      <c r="V103" s="31">
        <f>U102*(((1+Dashboard!$C$17)^(1/30))-1)</f>
        <v>19.180800928936577</v>
      </c>
      <c r="W103" s="29">
        <f t="shared" si="16"/>
        <v>102002.14274369479</v>
      </c>
      <c r="X103" s="45">
        <f>-R103+S103-Custos!D103</f>
        <v>656.59999999999991</v>
      </c>
      <c r="Z103" s="83">
        <v>0</v>
      </c>
      <c r="AA103" s="33">
        <f>AC102*(((1+Dashboard!$C$20)^(1/30))-1)</f>
        <v>287.50121884118045</v>
      </c>
      <c r="AB103" s="84">
        <v>0</v>
      </c>
      <c r="AC103" s="18">
        <f t="shared" si="25"/>
        <v>627558.17083397671</v>
      </c>
      <c r="AD103" s="47">
        <f t="shared" si="17"/>
        <v>0</v>
      </c>
      <c r="AF103" s="83">
        <v>0</v>
      </c>
      <c r="AG103" s="33">
        <f>AI102*(((1+Dashboard!$C$21)^(1/30))-1)</f>
        <v>53.782393597275785</v>
      </c>
      <c r="AH103" s="84">
        <v>0</v>
      </c>
      <c r="AI103" s="29">
        <f t="shared" si="26"/>
        <v>105142.03013574924</v>
      </c>
      <c r="AJ103" s="45">
        <f t="shared" si="18"/>
        <v>0</v>
      </c>
      <c r="AL103" s="83">
        <v>0</v>
      </c>
      <c r="AM103" s="22">
        <v>0</v>
      </c>
      <c r="AN103" s="45">
        <f t="shared" si="19"/>
        <v>0</v>
      </c>
    </row>
    <row r="104" spans="2:40" x14ac:dyDescent="0.25">
      <c r="B104" s="53">
        <f>B103*(((1+Dashboard!$C$20)^(1/30)))</f>
        <v>1046409.6730420014</v>
      </c>
      <c r="C104" s="1">
        <v>100</v>
      </c>
      <c r="D104" s="51">
        <f t="shared" si="20"/>
        <v>46273</v>
      </c>
      <c r="E104" s="7">
        <f t="shared" si="21"/>
        <v>9</v>
      </c>
      <c r="F104" s="31">
        <f>E104*Dashboard!$I$3</f>
        <v>15102</v>
      </c>
      <c r="G104" s="18">
        <f>E87*Dashboard!$I$4</f>
        <v>15750</v>
      </c>
      <c r="H104" s="48"/>
      <c r="I104" s="7">
        <f t="shared" si="22"/>
        <v>9</v>
      </c>
      <c r="J104" s="31">
        <f>I104*Dashboard!$I$3</f>
        <v>15102</v>
      </c>
      <c r="K104" s="29">
        <f>I85*Dashboard!$I$4</f>
        <v>15750</v>
      </c>
      <c r="L104" s="48"/>
      <c r="M104" s="7">
        <f t="shared" si="23"/>
        <v>12</v>
      </c>
      <c r="N104" s="31">
        <f>M104*Dashboard!$I$3</f>
        <v>20136</v>
      </c>
      <c r="O104" s="18">
        <f>M83*Dashboard!$I$4</f>
        <v>21000</v>
      </c>
      <c r="P104" s="48"/>
      <c r="Q104" s="32">
        <f t="shared" si="24"/>
        <v>30</v>
      </c>
      <c r="R104" s="31">
        <f t="shared" si="14"/>
        <v>50340</v>
      </c>
      <c r="S104" s="31">
        <f t="shared" si="15"/>
        <v>52500</v>
      </c>
      <c r="T104" s="31">
        <f t="shared" si="27"/>
        <v>2160</v>
      </c>
      <c r="U104" s="31">
        <f>U103-R104+S104+V104-Custos!D104+Z103+AF103+AL103-AB103-AH103-AM103</f>
        <v>52338.177769803166</v>
      </c>
      <c r="V104" s="31">
        <f>U103*(((1+Dashboard!$C$17)^(1/30))-1)</f>
        <v>19.43502610838291</v>
      </c>
      <c r="W104" s="29">
        <f t="shared" si="16"/>
        <v>102678.17776980317</v>
      </c>
      <c r="X104" s="45">
        <f>-R104+S104-Custos!D104</f>
        <v>656.59999999999991</v>
      </c>
      <c r="Z104" s="83">
        <v>0</v>
      </c>
      <c r="AA104" s="33">
        <f>AC103*(((1+Dashboard!$C$20)^(1/30))-1)</f>
        <v>287.63299122404328</v>
      </c>
      <c r="AB104" s="84">
        <v>0</v>
      </c>
      <c r="AC104" s="18">
        <f t="shared" si="25"/>
        <v>627845.80382520077</v>
      </c>
      <c r="AD104" s="47">
        <f t="shared" si="17"/>
        <v>0</v>
      </c>
      <c r="AF104" s="83">
        <v>0</v>
      </c>
      <c r="AG104" s="33">
        <f>AI103*(((1+Dashboard!$C$21)^(1/30))-1)</f>
        <v>53.809918519645308</v>
      </c>
      <c r="AH104" s="84">
        <v>0</v>
      </c>
      <c r="AI104" s="29">
        <f t="shared" si="26"/>
        <v>105195.84005426889</v>
      </c>
      <c r="AJ104" s="45">
        <f t="shared" si="18"/>
        <v>0</v>
      </c>
      <c r="AL104" s="83">
        <v>0</v>
      </c>
      <c r="AM104" s="22">
        <v>0</v>
      </c>
      <c r="AN104" s="45">
        <f t="shared" si="19"/>
        <v>0</v>
      </c>
    </row>
    <row r="105" spans="2:40" x14ac:dyDescent="0.25">
      <c r="B105" s="53">
        <f>B104*(((1+Dashboard!$C$20)^(1/30)))</f>
        <v>1046889.2810820065</v>
      </c>
      <c r="C105" s="1">
        <v>101</v>
      </c>
      <c r="D105" s="51">
        <f t="shared" si="20"/>
        <v>46274</v>
      </c>
      <c r="E105" s="7">
        <f t="shared" si="21"/>
        <v>9</v>
      </c>
      <c r="F105" s="31">
        <f>E105*Dashboard!$I$3</f>
        <v>15102</v>
      </c>
      <c r="G105" s="18">
        <f>E88*Dashboard!$I$4</f>
        <v>15750</v>
      </c>
      <c r="H105" s="48"/>
      <c r="I105" s="7">
        <f t="shared" si="22"/>
        <v>9</v>
      </c>
      <c r="J105" s="31">
        <f>I105*Dashboard!$I$3</f>
        <v>15102</v>
      </c>
      <c r="K105" s="29">
        <f>I86*Dashboard!$I$4</f>
        <v>15750</v>
      </c>
      <c r="L105" s="48"/>
      <c r="M105" s="7">
        <f t="shared" si="23"/>
        <v>12</v>
      </c>
      <c r="N105" s="31">
        <f>M105*Dashboard!$I$3</f>
        <v>20136</v>
      </c>
      <c r="O105" s="18">
        <f>M84*Dashboard!$I$4</f>
        <v>21000</v>
      </c>
      <c r="P105" s="48"/>
      <c r="Q105" s="32">
        <f t="shared" si="24"/>
        <v>30</v>
      </c>
      <c r="R105" s="31">
        <f t="shared" si="14"/>
        <v>50340</v>
      </c>
      <c r="S105" s="31">
        <f t="shared" si="15"/>
        <v>52500</v>
      </c>
      <c r="T105" s="31">
        <f t="shared" si="27"/>
        <v>2160</v>
      </c>
      <c r="U105" s="31">
        <f>U104-R105+S105+V105-Custos!D105+Z104+AF104+AL104-AB104-AH104-AM104</f>
        <v>53014.467116729167</v>
      </c>
      <c r="V105" s="31">
        <f>U104*(((1+Dashboard!$C$17)^(1/30))-1)</f>
        <v>19.689346926003299</v>
      </c>
      <c r="W105" s="29">
        <f t="shared" si="16"/>
        <v>103354.46711672917</v>
      </c>
      <c r="X105" s="45">
        <f>-R105+S105-Custos!D105</f>
        <v>656.59999999999991</v>
      </c>
      <c r="Z105" s="83">
        <v>0</v>
      </c>
      <c r="AA105" s="33">
        <f>AC104*(((1+Dashboard!$C$20)^(1/30))-1)</f>
        <v>287.76482400303576</v>
      </c>
      <c r="AB105" s="84">
        <v>0</v>
      </c>
      <c r="AC105" s="18">
        <f t="shared" si="25"/>
        <v>628133.56864920375</v>
      </c>
      <c r="AD105" s="47">
        <f t="shared" si="17"/>
        <v>0</v>
      </c>
      <c r="AF105" s="83">
        <v>0</v>
      </c>
      <c r="AG105" s="33">
        <f>AI104*(((1+Dashboard!$C$21)^(1/30))-1)</f>
        <v>53.837457528806084</v>
      </c>
      <c r="AH105" s="84">
        <v>0</v>
      </c>
      <c r="AI105" s="29">
        <f t="shared" si="26"/>
        <v>105249.67751179769</v>
      </c>
      <c r="AJ105" s="45">
        <f t="shared" si="18"/>
        <v>0</v>
      </c>
      <c r="AL105" s="83">
        <v>0</v>
      </c>
      <c r="AM105" s="22">
        <v>0</v>
      </c>
      <c r="AN105" s="45">
        <f t="shared" si="19"/>
        <v>0</v>
      </c>
    </row>
    <row r="106" spans="2:40" x14ac:dyDescent="0.25">
      <c r="B106" s="53">
        <f>B105*(((1+Dashboard!$C$20)^(1/30)))</f>
        <v>1047369.1089440163</v>
      </c>
      <c r="C106" s="1">
        <v>102</v>
      </c>
      <c r="D106" s="51">
        <f t="shared" si="20"/>
        <v>46275</v>
      </c>
      <c r="E106" s="7">
        <f t="shared" si="21"/>
        <v>9</v>
      </c>
      <c r="F106" s="31">
        <f>E106*Dashboard!$I$3</f>
        <v>15102</v>
      </c>
      <c r="G106" s="18">
        <f>E89*Dashboard!$I$4</f>
        <v>15750</v>
      </c>
      <c r="H106" s="48"/>
      <c r="I106" s="7">
        <f t="shared" si="22"/>
        <v>9</v>
      </c>
      <c r="J106" s="31">
        <f>I106*Dashboard!$I$3</f>
        <v>15102</v>
      </c>
      <c r="K106" s="29">
        <f>I87*Dashboard!$I$4</f>
        <v>15750</v>
      </c>
      <c r="L106" s="48"/>
      <c r="M106" s="7">
        <f t="shared" si="23"/>
        <v>12</v>
      </c>
      <c r="N106" s="31">
        <f>M106*Dashboard!$I$3</f>
        <v>20136</v>
      </c>
      <c r="O106" s="18">
        <f>M85*Dashboard!$I$4</f>
        <v>21000</v>
      </c>
      <c r="P106" s="48"/>
      <c r="Q106" s="32">
        <f t="shared" si="24"/>
        <v>30</v>
      </c>
      <c r="R106" s="31">
        <f t="shared" si="14"/>
        <v>50340</v>
      </c>
      <c r="S106" s="31">
        <f t="shared" si="15"/>
        <v>52500</v>
      </c>
      <c r="T106" s="31">
        <f t="shared" si="27"/>
        <v>2160</v>
      </c>
      <c r="U106" s="31">
        <f>U105-R106+S106+V106-Custos!D106+Z105+AF105+AL105-AB105-AH105-AM105</f>
        <v>53691.01088014694</v>
      </c>
      <c r="V106" s="31">
        <f>U105*(((1+Dashboard!$C$17)^(1/30))-1)</f>
        <v>19.943763417776324</v>
      </c>
      <c r="W106" s="29">
        <f t="shared" si="16"/>
        <v>104031.01088014693</v>
      </c>
      <c r="X106" s="45">
        <f>-R106+S106-Custos!D106</f>
        <v>656.59999999999991</v>
      </c>
      <c r="Z106" s="83">
        <v>0</v>
      </c>
      <c r="AA106" s="33">
        <f>AC105*(((1+Dashboard!$C$20)^(1/30))-1)</f>
        <v>287.89671720583965</v>
      </c>
      <c r="AB106" s="84">
        <v>0</v>
      </c>
      <c r="AC106" s="18">
        <f t="shared" si="25"/>
        <v>628421.46536640963</v>
      </c>
      <c r="AD106" s="47">
        <f t="shared" si="17"/>
        <v>0</v>
      </c>
      <c r="AF106" s="83">
        <v>0</v>
      </c>
      <c r="AG106" s="33">
        <f>AI105*(((1+Dashboard!$C$21)^(1/30))-1)</f>
        <v>53.865010631967486</v>
      </c>
      <c r="AH106" s="84">
        <v>0</v>
      </c>
      <c r="AI106" s="29">
        <f t="shared" si="26"/>
        <v>105303.54252242966</v>
      </c>
      <c r="AJ106" s="45">
        <f t="shared" si="18"/>
        <v>0</v>
      </c>
      <c r="AL106" s="83">
        <v>0</v>
      </c>
      <c r="AM106" s="22">
        <v>0</v>
      </c>
      <c r="AN106" s="45">
        <f t="shared" si="19"/>
        <v>0</v>
      </c>
    </row>
    <row r="107" spans="2:40" x14ac:dyDescent="0.25">
      <c r="B107" s="53">
        <f>B106*(((1+Dashboard!$C$20)^(1/30)))</f>
        <v>1047849.1567287832</v>
      </c>
      <c r="C107" s="1">
        <v>103</v>
      </c>
      <c r="D107" s="51">
        <f t="shared" si="20"/>
        <v>46276</v>
      </c>
      <c r="E107" s="7">
        <f t="shared" si="21"/>
        <v>9</v>
      </c>
      <c r="F107" s="31">
        <f>E107*Dashboard!$I$3</f>
        <v>15102</v>
      </c>
      <c r="G107" s="18">
        <f>E90*Dashboard!$I$4</f>
        <v>15750</v>
      </c>
      <c r="H107" s="48"/>
      <c r="I107" s="7">
        <f t="shared" si="22"/>
        <v>9</v>
      </c>
      <c r="J107" s="31">
        <f>I107*Dashboard!$I$3</f>
        <v>15102</v>
      </c>
      <c r="K107" s="29">
        <f>I88*Dashboard!$I$4</f>
        <v>15750</v>
      </c>
      <c r="L107" s="48"/>
      <c r="M107" s="7">
        <f t="shared" si="23"/>
        <v>12</v>
      </c>
      <c r="N107" s="31">
        <f>M107*Dashboard!$I$3</f>
        <v>20136</v>
      </c>
      <c r="O107" s="18">
        <f>M86*Dashboard!$I$4</f>
        <v>21000</v>
      </c>
      <c r="P107" s="48"/>
      <c r="Q107" s="32">
        <f t="shared" ref="Q107:Q127" si="28">E107+I107+M107</f>
        <v>30</v>
      </c>
      <c r="R107" s="31">
        <f t="shared" si="14"/>
        <v>50340</v>
      </c>
      <c r="S107" s="31">
        <f t="shared" si="15"/>
        <v>52500</v>
      </c>
      <c r="T107" s="31">
        <f t="shared" si="27"/>
        <v>2160</v>
      </c>
      <c r="U107" s="31">
        <f>U106-R107+S107+V107-Custos!D107+Z106+AF106+AL106-AB106-AH106-AM106</f>
        <v>54367.809155766634</v>
      </c>
      <c r="V107" s="31">
        <f>U106*(((1+Dashboard!$C$17)^(1/30))-1)</f>
        <v>20.198275619694098</v>
      </c>
      <c r="W107" s="29">
        <f t="shared" si="16"/>
        <v>104707.80915576663</v>
      </c>
      <c r="X107" s="45">
        <f>-R107+S107-Custos!D107</f>
        <v>656.59999999999991</v>
      </c>
      <c r="Z107" s="83">
        <v>0</v>
      </c>
      <c r="AA107" s="33">
        <f>AC106*(((1+Dashboard!$C$20)^(1/30))-1)</f>
        <v>288.02867086014948</v>
      </c>
      <c r="AB107" s="84">
        <v>0</v>
      </c>
      <c r="AC107" s="18">
        <f t="shared" si="25"/>
        <v>628709.49403726973</v>
      </c>
      <c r="AD107" s="47">
        <f t="shared" si="17"/>
        <v>0</v>
      </c>
      <c r="AF107" s="83">
        <v>0</v>
      </c>
      <c r="AG107" s="33">
        <f>AI106*(((1+Dashboard!$C$21)^(1/30))-1)</f>
        <v>53.892577836342596</v>
      </c>
      <c r="AH107" s="84">
        <v>0</v>
      </c>
      <c r="AI107" s="29">
        <f t="shared" si="26"/>
        <v>105357.43510026601</v>
      </c>
      <c r="AJ107" s="45">
        <f t="shared" si="18"/>
        <v>0</v>
      </c>
      <c r="AL107" s="83">
        <v>0</v>
      </c>
      <c r="AM107" s="22">
        <v>0</v>
      </c>
      <c r="AN107" s="45">
        <f t="shared" si="19"/>
        <v>0</v>
      </c>
    </row>
    <row r="108" spans="2:40" x14ac:dyDescent="0.25">
      <c r="B108" s="53">
        <f>B107*(((1+Dashboard!$C$20)^(1/30)))</f>
        <v>1048329.424537106</v>
      </c>
      <c r="C108" s="1">
        <v>104</v>
      </c>
      <c r="D108" s="51">
        <f t="shared" si="20"/>
        <v>46277</v>
      </c>
      <c r="E108" s="7">
        <f t="shared" si="21"/>
        <v>9</v>
      </c>
      <c r="F108" s="31">
        <f>E108*Dashboard!$I$3</f>
        <v>15102</v>
      </c>
      <c r="G108" s="18">
        <f>E91*Dashboard!$I$4</f>
        <v>15750</v>
      </c>
      <c r="H108" s="48"/>
      <c r="I108" s="7">
        <f t="shared" si="22"/>
        <v>9</v>
      </c>
      <c r="J108" s="31">
        <f>I108*Dashboard!$I$3</f>
        <v>15102</v>
      </c>
      <c r="K108" s="29">
        <f>I89*Dashboard!$I$4</f>
        <v>15750</v>
      </c>
      <c r="L108" s="48"/>
      <c r="M108" s="7">
        <f t="shared" si="23"/>
        <v>12</v>
      </c>
      <c r="N108" s="31">
        <f>M108*Dashboard!$I$3</f>
        <v>20136</v>
      </c>
      <c r="O108" s="18">
        <f>M87*Dashboard!$I$4</f>
        <v>21000</v>
      </c>
      <c r="P108" s="48"/>
      <c r="Q108" s="32">
        <f t="shared" si="28"/>
        <v>30</v>
      </c>
      <c r="R108" s="31">
        <f t="shared" si="14"/>
        <v>50340</v>
      </c>
      <c r="S108" s="31">
        <f t="shared" si="15"/>
        <v>52500</v>
      </c>
      <c r="T108" s="31">
        <f t="shared" si="27"/>
        <v>2160</v>
      </c>
      <c r="U108" s="31">
        <f>U107-R108+S108+V108-Custos!D108+Z107+AF107+AL107-AB107-AH107-AM107</f>
        <v>55044.862039334395</v>
      </c>
      <c r="V108" s="31">
        <f>U107*(((1+Dashboard!$C$17)^(1/30))-1)</f>
        <v>20.452883567762271</v>
      </c>
      <c r="W108" s="29">
        <f t="shared" si="16"/>
        <v>105384.8620393344</v>
      </c>
      <c r="X108" s="45">
        <f>-R108+S108-Custos!D108</f>
        <v>656.59999999999991</v>
      </c>
      <c r="Z108" s="83">
        <v>0</v>
      </c>
      <c r="AA108" s="33">
        <f>AC107*(((1+Dashboard!$C$20)^(1/30))-1)</f>
        <v>288.16068499367219</v>
      </c>
      <c r="AB108" s="84">
        <v>0</v>
      </c>
      <c r="AC108" s="18">
        <f t="shared" si="25"/>
        <v>628997.65472226345</v>
      </c>
      <c r="AD108" s="47">
        <f t="shared" si="17"/>
        <v>0</v>
      </c>
      <c r="AF108" s="83">
        <v>0</v>
      </c>
      <c r="AG108" s="33">
        <f>AI107*(((1+Dashboard!$C$21)^(1/30))-1)</f>
        <v>53.920159149148169</v>
      </c>
      <c r="AH108" s="84">
        <v>0</v>
      </c>
      <c r="AI108" s="29">
        <f t="shared" si="26"/>
        <v>105411.35525941516</v>
      </c>
      <c r="AJ108" s="45">
        <f t="shared" si="18"/>
        <v>0</v>
      </c>
      <c r="AL108" s="83">
        <v>0</v>
      </c>
      <c r="AM108" s="22">
        <v>0</v>
      </c>
      <c r="AN108" s="45">
        <f t="shared" si="19"/>
        <v>0</v>
      </c>
    </row>
    <row r="109" spans="2:40" x14ac:dyDescent="0.25">
      <c r="B109" s="53">
        <f>B108*(((1+Dashboard!$C$20)^(1/30)))</f>
        <v>1048809.9124698294</v>
      </c>
      <c r="C109" s="1">
        <v>105</v>
      </c>
      <c r="D109" s="51">
        <f t="shared" si="20"/>
        <v>46278</v>
      </c>
      <c r="E109" s="7">
        <f t="shared" si="21"/>
        <v>9</v>
      </c>
      <c r="F109" s="31">
        <f>E109*Dashboard!$I$3</f>
        <v>15102</v>
      </c>
      <c r="G109" s="18">
        <f>E92*Dashboard!$I$4</f>
        <v>15750</v>
      </c>
      <c r="H109" s="48"/>
      <c r="I109" s="7">
        <f t="shared" si="22"/>
        <v>9</v>
      </c>
      <c r="J109" s="31">
        <f>I109*Dashboard!$I$3</f>
        <v>15102</v>
      </c>
      <c r="K109" s="29">
        <f>I90*Dashboard!$I$4</f>
        <v>15750</v>
      </c>
      <c r="L109" s="48"/>
      <c r="M109" s="7">
        <f t="shared" si="23"/>
        <v>12</v>
      </c>
      <c r="N109" s="31">
        <f>M109*Dashboard!$I$3</f>
        <v>20136</v>
      </c>
      <c r="O109" s="18">
        <f>M88*Dashboard!$I$4</f>
        <v>21000</v>
      </c>
      <c r="P109" s="48"/>
      <c r="Q109" s="32">
        <f t="shared" si="28"/>
        <v>30</v>
      </c>
      <c r="R109" s="31">
        <f t="shared" si="14"/>
        <v>50340</v>
      </c>
      <c r="S109" s="31">
        <f t="shared" si="15"/>
        <v>52500</v>
      </c>
      <c r="T109" s="31">
        <f t="shared" si="27"/>
        <v>2160</v>
      </c>
      <c r="U109" s="31">
        <f>U108-R109+S109+V109-Custos!D109+Z108+AF108+AL108-AB108-AH108-AM108</f>
        <v>55722.169626632392</v>
      </c>
      <c r="V109" s="31">
        <f>U108*(((1+Dashboard!$C$17)^(1/30))-1)</f>
        <v>20.707587298000046</v>
      </c>
      <c r="W109" s="29">
        <f t="shared" si="16"/>
        <v>106062.16962663239</v>
      </c>
      <c r="X109" s="45">
        <f>-R109+S109-Custos!D109</f>
        <v>656.59999999999991</v>
      </c>
      <c r="Z109" s="83">
        <v>0</v>
      </c>
      <c r="AA109" s="33">
        <f>AC108*(((1+Dashboard!$C$20)^(1/30))-1)</f>
        <v>288.29275963412789</v>
      </c>
      <c r="AB109" s="84">
        <v>0</v>
      </c>
      <c r="AC109" s="18">
        <f t="shared" si="25"/>
        <v>629285.94748189754</v>
      </c>
      <c r="AD109" s="47">
        <f t="shared" si="17"/>
        <v>0</v>
      </c>
      <c r="AF109" s="83">
        <v>0</v>
      </c>
      <c r="AG109" s="33">
        <f>AI108*(((1+Dashboard!$C$21)^(1/30))-1)</f>
        <v>53.94775457760467</v>
      </c>
      <c r="AH109" s="84">
        <v>0</v>
      </c>
      <c r="AI109" s="29">
        <f t="shared" si="26"/>
        <v>105465.30301399276</v>
      </c>
      <c r="AJ109" s="45">
        <f t="shared" si="18"/>
        <v>0</v>
      </c>
      <c r="AL109" s="83">
        <v>0</v>
      </c>
      <c r="AM109" s="22">
        <v>0</v>
      </c>
      <c r="AN109" s="45">
        <f t="shared" si="19"/>
        <v>0</v>
      </c>
    </row>
    <row r="110" spans="2:40" x14ac:dyDescent="0.25">
      <c r="B110" s="53">
        <f>B109*(((1+Dashboard!$C$20)^(1/30)))</f>
        <v>1049290.6206278449</v>
      </c>
      <c r="C110" s="1">
        <v>106</v>
      </c>
      <c r="D110" s="51">
        <f t="shared" si="20"/>
        <v>46279</v>
      </c>
      <c r="E110" s="7">
        <f t="shared" si="21"/>
        <v>9</v>
      </c>
      <c r="F110" s="31">
        <f>E110*Dashboard!$I$3</f>
        <v>15102</v>
      </c>
      <c r="G110" s="18">
        <f>E93*Dashboard!$I$4</f>
        <v>15750</v>
      </c>
      <c r="H110" s="48"/>
      <c r="I110" s="7">
        <f t="shared" si="22"/>
        <v>9</v>
      </c>
      <c r="J110" s="31">
        <f>I110*Dashboard!$I$3</f>
        <v>15102</v>
      </c>
      <c r="K110" s="29">
        <f>I91*Dashboard!$I$4</f>
        <v>15750</v>
      </c>
      <c r="L110" s="48"/>
      <c r="M110" s="7">
        <f t="shared" si="23"/>
        <v>12</v>
      </c>
      <c r="N110" s="31">
        <f>M110*Dashboard!$I$3</f>
        <v>20136</v>
      </c>
      <c r="O110" s="18">
        <f>M89*Dashboard!$I$4</f>
        <v>21000</v>
      </c>
      <c r="P110" s="48"/>
      <c r="Q110" s="32">
        <f t="shared" si="28"/>
        <v>30</v>
      </c>
      <c r="R110" s="31">
        <f t="shared" si="14"/>
        <v>50340</v>
      </c>
      <c r="S110" s="31">
        <f t="shared" si="15"/>
        <v>52500</v>
      </c>
      <c r="T110" s="31">
        <f t="shared" si="27"/>
        <v>2160</v>
      </c>
      <c r="U110" s="31">
        <f>U109-R110+S110+V110-Custos!D110+Z109+AF109+AL109-AB109-AH109-AM109</f>
        <v>56399.732013478832</v>
      </c>
      <c r="V110" s="31">
        <f>U109*(((1+Dashboard!$C$17)^(1/30))-1)</f>
        <v>20.962386846440165</v>
      </c>
      <c r="W110" s="29">
        <f t="shared" si="16"/>
        <v>106739.73201347883</v>
      </c>
      <c r="X110" s="45">
        <f>-R110+S110-Custos!D110</f>
        <v>656.59999999999991</v>
      </c>
      <c r="Z110" s="83">
        <v>0</v>
      </c>
      <c r="AA110" s="33">
        <f>AC109*(((1+Dashboard!$C$20)^(1/30))-1)</f>
        <v>288.42489480924894</v>
      </c>
      <c r="AB110" s="84">
        <v>0</v>
      </c>
      <c r="AC110" s="18">
        <f t="shared" si="25"/>
        <v>629574.3723767068</v>
      </c>
      <c r="AD110" s="47">
        <f t="shared" si="17"/>
        <v>0</v>
      </c>
      <c r="AF110" s="83">
        <v>0</v>
      </c>
      <c r="AG110" s="33">
        <f>AI109*(((1+Dashboard!$C$21)^(1/30))-1)</f>
        <v>53.975364128936242</v>
      </c>
      <c r="AH110" s="84">
        <v>0</v>
      </c>
      <c r="AI110" s="29">
        <f t="shared" si="26"/>
        <v>105519.2783781217</v>
      </c>
      <c r="AJ110" s="45">
        <f t="shared" si="18"/>
        <v>0</v>
      </c>
      <c r="AL110" s="83">
        <v>0</v>
      </c>
      <c r="AM110" s="22">
        <v>0</v>
      </c>
      <c r="AN110" s="45">
        <f t="shared" si="19"/>
        <v>0</v>
      </c>
    </row>
    <row r="111" spans="2:40" x14ac:dyDescent="0.25">
      <c r="B111" s="53">
        <f>B110*(((1+Dashboard!$C$20)^(1/30)))</f>
        <v>1049771.5491120897</v>
      </c>
      <c r="C111" s="1">
        <v>107</v>
      </c>
      <c r="D111" s="51">
        <f t="shared" si="20"/>
        <v>46280</v>
      </c>
      <c r="E111" s="7">
        <f t="shared" si="21"/>
        <v>9</v>
      </c>
      <c r="F111" s="31">
        <f>E111*Dashboard!$I$3</f>
        <v>15102</v>
      </c>
      <c r="G111" s="18">
        <f>E94*Dashboard!$I$4</f>
        <v>15750</v>
      </c>
      <c r="H111" s="48"/>
      <c r="I111" s="7">
        <f t="shared" si="22"/>
        <v>9</v>
      </c>
      <c r="J111" s="31">
        <f>I111*Dashboard!$I$3</f>
        <v>15102</v>
      </c>
      <c r="K111" s="29">
        <f>I92*Dashboard!$I$4</f>
        <v>15750</v>
      </c>
      <c r="L111" s="48"/>
      <c r="M111" s="7">
        <f t="shared" si="23"/>
        <v>12</v>
      </c>
      <c r="N111" s="31">
        <f>M111*Dashboard!$I$3</f>
        <v>20136</v>
      </c>
      <c r="O111" s="18">
        <f>M90*Dashboard!$I$4</f>
        <v>21000</v>
      </c>
      <c r="P111" s="48"/>
      <c r="Q111" s="32">
        <f t="shared" si="28"/>
        <v>30</v>
      </c>
      <c r="R111" s="31">
        <f t="shared" si="14"/>
        <v>50340</v>
      </c>
      <c r="S111" s="31">
        <f t="shared" si="15"/>
        <v>52500</v>
      </c>
      <c r="T111" s="31">
        <f t="shared" si="27"/>
        <v>2160</v>
      </c>
      <c r="U111" s="31">
        <f>U110-R111+S111+V111-Custos!D111+Z110+AF110+AL110-AB110-AH110-AM110</f>
        <v>57077.549295727957</v>
      </c>
      <c r="V111" s="31">
        <f>U110*(((1+Dashboard!$C$17)^(1/30))-1)</f>
        <v>21.217282249128935</v>
      </c>
      <c r="W111" s="29">
        <f t="shared" si="16"/>
        <v>107417.54929572795</v>
      </c>
      <c r="X111" s="45">
        <f>-R111+S111-Custos!D111</f>
        <v>656.59999999999991</v>
      </c>
      <c r="Z111" s="83">
        <v>0</v>
      </c>
      <c r="AA111" s="33">
        <f>AC110*(((1+Dashboard!$C$20)^(1/30))-1)</f>
        <v>288.55709054678067</v>
      </c>
      <c r="AB111" s="84">
        <v>0</v>
      </c>
      <c r="AC111" s="18">
        <f t="shared" si="25"/>
        <v>629862.92946725362</v>
      </c>
      <c r="AD111" s="47">
        <f t="shared" si="17"/>
        <v>0</v>
      </c>
      <c r="AF111" s="83">
        <v>0</v>
      </c>
      <c r="AG111" s="33">
        <f>AI110*(((1+Dashboard!$C$21)^(1/30))-1)</f>
        <v>54.00298781037074</v>
      </c>
      <c r="AH111" s="84">
        <v>0</v>
      </c>
      <c r="AI111" s="29">
        <f t="shared" si="26"/>
        <v>105573.28136593207</v>
      </c>
      <c r="AJ111" s="45">
        <f t="shared" si="18"/>
        <v>0</v>
      </c>
      <c r="AL111" s="83">
        <v>0</v>
      </c>
      <c r="AM111" s="22">
        <v>0</v>
      </c>
      <c r="AN111" s="45">
        <f t="shared" si="19"/>
        <v>0</v>
      </c>
    </row>
    <row r="112" spans="2:40" x14ac:dyDescent="0.25">
      <c r="B112" s="53">
        <f>B111*(((1+Dashboard!$C$20)^(1/30)))</f>
        <v>1050252.6980235472</v>
      </c>
      <c r="C112" s="1">
        <v>108</v>
      </c>
      <c r="D112" s="51">
        <f t="shared" si="20"/>
        <v>46281</v>
      </c>
      <c r="E112" s="7">
        <f t="shared" si="21"/>
        <v>9</v>
      </c>
      <c r="F112" s="31">
        <f>E112*Dashboard!$I$3</f>
        <v>15102</v>
      </c>
      <c r="G112" s="18">
        <f>E95*Dashboard!$I$4</f>
        <v>15750</v>
      </c>
      <c r="H112" s="48"/>
      <c r="I112" s="7">
        <f t="shared" si="22"/>
        <v>9</v>
      </c>
      <c r="J112" s="31">
        <f>I112*Dashboard!$I$3</f>
        <v>15102</v>
      </c>
      <c r="K112" s="29">
        <f>I93*Dashboard!$I$4</f>
        <v>15750</v>
      </c>
      <c r="L112" s="48"/>
      <c r="M112" s="7">
        <f t="shared" si="23"/>
        <v>12</v>
      </c>
      <c r="N112" s="31">
        <f>M112*Dashboard!$I$3</f>
        <v>20136</v>
      </c>
      <c r="O112" s="18">
        <f>M91*Dashboard!$I$4</f>
        <v>21000</v>
      </c>
      <c r="P112" s="48"/>
      <c r="Q112" s="32">
        <f t="shared" si="28"/>
        <v>30</v>
      </c>
      <c r="R112" s="31">
        <f t="shared" si="14"/>
        <v>50340</v>
      </c>
      <c r="S112" s="31">
        <f t="shared" si="15"/>
        <v>52500</v>
      </c>
      <c r="T112" s="31">
        <f t="shared" si="27"/>
        <v>2160</v>
      </c>
      <c r="U112" s="31">
        <f>U111-R112+S112+V112-Custos!D112+Z111+AF111+AL111-AB111-AH111-AM111</f>
        <v>57755.621569270079</v>
      </c>
      <c r="V112" s="31">
        <f>U111*(((1+Dashboard!$C$17)^(1/30))-1)</f>
        <v>21.472273542126217</v>
      </c>
      <c r="W112" s="29">
        <f t="shared" si="16"/>
        <v>108095.62156927008</v>
      </c>
      <c r="X112" s="45">
        <f>-R112+S112-Custos!D112</f>
        <v>656.59999999999991</v>
      </c>
      <c r="Z112" s="83">
        <v>0</v>
      </c>
      <c r="AA112" s="33">
        <f>AC111*(((1+Dashboard!$C$20)^(1/30))-1)</f>
        <v>288.68934687448109</v>
      </c>
      <c r="AB112" s="84">
        <v>0</v>
      </c>
      <c r="AC112" s="18">
        <f t="shared" si="25"/>
        <v>630151.6188141281</v>
      </c>
      <c r="AD112" s="47">
        <f t="shared" si="17"/>
        <v>0</v>
      </c>
      <c r="AF112" s="83">
        <v>0</v>
      </c>
      <c r="AG112" s="33">
        <f>AI111*(((1+Dashboard!$C$21)^(1/30))-1)</f>
        <v>54.030625629139706</v>
      </c>
      <c r="AH112" s="84">
        <v>0</v>
      </c>
      <c r="AI112" s="29">
        <f t="shared" si="26"/>
        <v>105627.3119915612</v>
      </c>
      <c r="AJ112" s="45">
        <f t="shared" si="18"/>
        <v>0</v>
      </c>
      <c r="AL112" s="83">
        <v>0</v>
      </c>
      <c r="AM112" s="22">
        <v>0</v>
      </c>
      <c r="AN112" s="45">
        <f t="shared" si="19"/>
        <v>0</v>
      </c>
    </row>
    <row r="113" spans="2:40" x14ac:dyDescent="0.25">
      <c r="B113" s="53">
        <f>B112*(((1+Dashboard!$C$20)^(1/30)))</f>
        <v>1050734.0674632473</v>
      </c>
      <c r="C113" s="1">
        <v>109</v>
      </c>
      <c r="D113" s="51">
        <f t="shared" si="20"/>
        <v>46282</v>
      </c>
      <c r="E113" s="7">
        <f t="shared" si="21"/>
        <v>9</v>
      </c>
      <c r="F113" s="31">
        <f>E113*Dashboard!$I$3</f>
        <v>15102</v>
      </c>
      <c r="G113" s="18">
        <f>E96*Dashboard!$I$4</f>
        <v>15750</v>
      </c>
      <c r="H113" s="48"/>
      <c r="I113" s="7">
        <f t="shared" si="22"/>
        <v>9</v>
      </c>
      <c r="J113" s="31">
        <f>I113*Dashboard!$I$3</f>
        <v>15102</v>
      </c>
      <c r="K113" s="29">
        <f>I94*Dashboard!$I$4</f>
        <v>15750</v>
      </c>
      <c r="L113" s="48"/>
      <c r="M113" s="7">
        <f t="shared" si="23"/>
        <v>12</v>
      </c>
      <c r="N113" s="31">
        <f>M113*Dashboard!$I$3</f>
        <v>20136</v>
      </c>
      <c r="O113" s="18">
        <f>M92*Dashboard!$I$4</f>
        <v>21000</v>
      </c>
      <c r="P113" s="48"/>
      <c r="Q113" s="32">
        <f t="shared" si="28"/>
        <v>30</v>
      </c>
      <c r="R113" s="31">
        <f t="shared" si="14"/>
        <v>50340</v>
      </c>
      <c r="S113" s="31">
        <f t="shared" si="15"/>
        <v>52500</v>
      </c>
      <c r="T113" s="31">
        <f t="shared" si="27"/>
        <v>2160</v>
      </c>
      <c r="U113" s="31">
        <f>U112-R113+S113+V113-Custos!D113+Z112+AF112+AL112-AB112-AH112-AM112</f>
        <v>58433.948930031584</v>
      </c>
      <c r="V113" s="31">
        <f>U112*(((1+Dashboard!$C$17)^(1/30))-1)</f>
        <v>21.727360761505441</v>
      </c>
      <c r="W113" s="29">
        <f t="shared" si="16"/>
        <v>108773.94893003159</v>
      </c>
      <c r="X113" s="45">
        <f>-R113+S113-Custos!D113</f>
        <v>656.59999999999991</v>
      </c>
      <c r="Z113" s="83">
        <v>0</v>
      </c>
      <c r="AA113" s="33">
        <f>AC112*(((1+Dashboard!$C$20)^(1/30))-1)</f>
        <v>288.82166382012082</v>
      </c>
      <c r="AB113" s="84">
        <v>0</v>
      </c>
      <c r="AC113" s="18">
        <f t="shared" si="25"/>
        <v>630440.44047794817</v>
      </c>
      <c r="AD113" s="47">
        <f t="shared" si="17"/>
        <v>0</v>
      </c>
      <c r="AF113" s="83">
        <v>0</v>
      </c>
      <c r="AG113" s="33">
        <f>AI112*(((1+Dashboard!$C$21)^(1/30))-1)</f>
        <v>54.058277592478397</v>
      </c>
      <c r="AH113" s="84">
        <v>0</v>
      </c>
      <c r="AI113" s="29">
        <f t="shared" si="26"/>
        <v>105681.37026915369</v>
      </c>
      <c r="AJ113" s="45">
        <f t="shared" si="18"/>
        <v>0</v>
      </c>
      <c r="AL113" s="83">
        <v>0</v>
      </c>
      <c r="AM113" s="22">
        <v>0</v>
      </c>
      <c r="AN113" s="45">
        <f t="shared" si="19"/>
        <v>0</v>
      </c>
    </row>
    <row r="114" spans="2:40" x14ac:dyDescent="0.25">
      <c r="B114" s="53">
        <f>B113*(((1+Dashboard!$C$20)^(1/30)))</f>
        <v>1051215.6575322666</v>
      </c>
      <c r="C114" s="1">
        <v>110</v>
      </c>
      <c r="D114" s="51">
        <f t="shared" si="20"/>
        <v>46283</v>
      </c>
      <c r="E114" s="7">
        <f t="shared" si="21"/>
        <v>9</v>
      </c>
      <c r="F114" s="31">
        <f>E114*Dashboard!$I$3</f>
        <v>15102</v>
      </c>
      <c r="G114" s="18">
        <f>E97*Dashboard!$I$4</f>
        <v>15750</v>
      </c>
      <c r="H114" s="48"/>
      <c r="I114" s="7">
        <f t="shared" si="22"/>
        <v>9</v>
      </c>
      <c r="J114" s="31">
        <f>I114*Dashboard!$I$3</f>
        <v>15102</v>
      </c>
      <c r="K114" s="29">
        <f>I95*Dashboard!$I$4</f>
        <v>15750</v>
      </c>
      <c r="L114" s="48"/>
      <c r="M114" s="7">
        <f t="shared" si="23"/>
        <v>12</v>
      </c>
      <c r="N114" s="31">
        <f>M114*Dashboard!$I$3</f>
        <v>20136</v>
      </c>
      <c r="O114" s="18">
        <f>M93*Dashboard!$I$4</f>
        <v>21000</v>
      </c>
      <c r="P114" s="48"/>
      <c r="Q114" s="32">
        <f t="shared" si="28"/>
        <v>30</v>
      </c>
      <c r="R114" s="31">
        <f t="shared" si="14"/>
        <v>50340</v>
      </c>
      <c r="S114" s="31">
        <f t="shared" si="15"/>
        <v>52500</v>
      </c>
      <c r="T114" s="31">
        <f t="shared" si="27"/>
        <v>2160</v>
      </c>
      <c r="U114" s="31">
        <f>U113-R114+S114+V114-Custos!D114+Z113+AF113+AL113-AB113-AH113-AM113</f>
        <v>59112.531473974937</v>
      </c>
      <c r="V114" s="31">
        <f>U113*(((1+Dashboard!$C$17)^(1/30))-1)</f>
        <v>21.982543943353608</v>
      </c>
      <c r="W114" s="29">
        <f t="shared" si="16"/>
        <v>109452.53147397493</v>
      </c>
      <c r="X114" s="45">
        <f>-R114+S114-Custos!D114</f>
        <v>656.59999999999991</v>
      </c>
      <c r="Z114" s="83">
        <v>0</v>
      </c>
      <c r="AA114" s="33">
        <f>AC113*(((1+Dashboard!$C$20)^(1/30))-1)</f>
        <v>288.95404141148333</v>
      </c>
      <c r="AB114" s="84">
        <v>0</v>
      </c>
      <c r="AC114" s="18">
        <f t="shared" si="25"/>
        <v>630729.39451935969</v>
      </c>
      <c r="AD114" s="47">
        <f t="shared" si="17"/>
        <v>0</v>
      </c>
      <c r="AF114" s="83">
        <v>0</v>
      </c>
      <c r="AG114" s="33">
        <f>AI113*(((1+Dashboard!$C$21)^(1/30))-1)</f>
        <v>54.085943707625773</v>
      </c>
      <c r="AH114" s="84">
        <v>0</v>
      </c>
      <c r="AI114" s="29">
        <f t="shared" si="26"/>
        <v>105735.45621286132</v>
      </c>
      <c r="AJ114" s="45">
        <f t="shared" si="18"/>
        <v>0</v>
      </c>
      <c r="AL114" s="83">
        <v>0</v>
      </c>
      <c r="AM114" s="22">
        <v>0</v>
      </c>
      <c r="AN114" s="45">
        <f t="shared" si="19"/>
        <v>0</v>
      </c>
    </row>
    <row r="115" spans="2:40" x14ac:dyDescent="0.25">
      <c r="B115" s="53">
        <f>B114*(((1+Dashboard!$C$20)^(1/30)))</f>
        <v>1051697.4683317272</v>
      </c>
      <c r="C115" s="1">
        <v>111</v>
      </c>
      <c r="D115" s="51">
        <f t="shared" si="20"/>
        <v>46284</v>
      </c>
      <c r="E115" s="7">
        <f t="shared" si="21"/>
        <v>9</v>
      </c>
      <c r="F115" s="31">
        <f>E115*Dashboard!$I$3</f>
        <v>15102</v>
      </c>
      <c r="G115" s="18">
        <f>E98*Dashboard!$I$4</f>
        <v>15750</v>
      </c>
      <c r="H115" s="48"/>
      <c r="I115" s="7">
        <f t="shared" si="22"/>
        <v>9</v>
      </c>
      <c r="J115" s="31">
        <f>I115*Dashboard!$I$3</f>
        <v>15102</v>
      </c>
      <c r="K115" s="29">
        <f>I96*Dashboard!$I$4</f>
        <v>15750</v>
      </c>
      <c r="L115" s="48"/>
      <c r="M115" s="7">
        <f t="shared" si="23"/>
        <v>12</v>
      </c>
      <c r="N115" s="31">
        <f>M115*Dashboard!$I$3</f>
        <v>20136</v>
      </c>
      <c r="O115" s="18">
        <f>M94*Dashboard!$I$4</f>
        <v>21000</v>
      </c>
      <c r="P115" s="48"/>
      <c r="Q115" s="32">
        <f t="shared" si="28"/>
        <v>30</v>
      </c>
      <c r="R115" s="31">
        <f t="shared" si="14"/>
        <v>50340</v>
      </c>
      <c r="S115" s="31">
        <f t="shared" si="15"/>
        <v>52500</v>
      </c>
      <c r="T115" s="31">
        <f t="shared" si="27"/>
        <v>2160</v>
      </c>
      <c r="U115" s="31">
        <f>U114-R115+S115+V115-Custos!D115+Z114+AF114+AL114-AB114-AH114-AM114</f>
        <v>59791.36929709871</v>
      </c>
      <c r="V115" s="31">
        <f>U114*(((1+Dashboard!$C$17)^(1/30))-1)</f>
        <v>22.237823123771296</v>
      </c>
      <c r="W115" s="29">
        <f t="shared" si="16"/>
        <v>110131.36929709872</v>
      </c>
      <c r="X115" s="45">
        <f>-R115+S115-Custos!D115</f>
        <v>656.59999999999991</v>
      </c>
      <c r="Z115" s="83">
        <v>0</v>
      </c>
      <c r="AA115" s="33">
        <f>AC114*(((1+Dashboard!$C$20)^(1/30))-1)</f>
        <v>289.08647967636489</v>
      </c>
      <c r="AB115" s="84">
        <v>0</v>
      </c>
      <c r="AC115" s="18">
        <f t="shared" si="25"/>
        <v>631018.48099903611</v>
      </c>
      <c r="AD115" s="47">
        <f t="shared" si="17"/>
        <v>0</v>
      </c>
      <c r="AF115" s="83">
        <v>0</v>
      </c>
      <c r="AG115" s="33">
        <f>AI114*(((1+Dashboard!$C$21)^(1/30))-1)</f>
        <v>54.113623981824475</v>
      </c>
      <c r="AH115" s="84">
        <v>0</v>
      </c>
      <c r="AI115" s="29">
        <f t="shared" si="26"/>
        <v>105789.56983684315</v>
      </c>
      <c r="AJ115" s="45">
        <f t="shared" si="18"/>
        <v>0</v>
      </c>
      <c r="AL115" s="83">
        <v>0</v>
      </c>
      <c r="AM115" s="22">
        <v>0</v>
      </c>
      <c r="AN115" s="45">
        <f t="shared" si="19"/>
        <v>0</v>
      </c>
    </row>
    <row r="116" spans="2:40" x14ac:dyDescent="0.25">
      <c r="B116" s="53">
        <f>B115*(((1+Dashboard!$C$20)^(1/30)))</f>
        <v>1052179.4999627981</v>
      </c>
      <c r="C116" s="1">
        <v>112</v>
      </c>
      <c r="D116" s="51">
        <f t="shared" si="20"/>
        <v>46285</v>
      </c>
      <c r="E116" s="7">
        <f t="shared" si="21"/>
        <v>9</v>
      </c>
      <c r="F116" s="31">
        <f>E116*Dashboard!$I$3</f>
        <v>15102</v>
      </c>
      <c r="G116" s="18">
        <f>E99*Dashboard!$I$4</f>
        <v>15750</v>
      </c>
      <c r="H116" s="48"/>
      <c r="I116" s="7">
        <f t="shared" si="22"/>
        <v>9</v>
      </c>
      <c r="J116" s="31">
        <f>I116*Dashboard!$I$3</f>
        <v>15102</v>
      </c>
      <c r="K116" s="29">
        <f>I97*Dashboard!$I$4</f>
        <v>15750</v>
      </c>
      <c r="L116" s="48"/>
      <c r="M116" s="7">
        <f t="shared" si="23"/>
        <v>12</v>
      </c>
      <c r="N116" s="31">
        <f>M116*Dashboard!$I$3</f>
        <v>20136</v>
      </c>
      <c r="O116" s="18">
        <f>M95*Dashboard!$I$4</f>
        <v>21000</v>
      </c>
      <c r="P116" s="48"/>
      <c r="Q116" s="32">
        <f t="shared" si="28"/>
        <v>30</v>
      </c>
      <c r="R116" s="31">
        <f t="shared" si="14"/>
        <v>50340</v>
      </c>
      <c r="S116" s="31">
        <f t="shared" si="15"/>
        <v>52500</v>
      </c>
      <c r="T116" s="31">
        <f t="shared" si="27"/>
        <v>2160</v>
      </c>
      <c r="U116" s="31">
        <f>U115-R116+S116+V116-Custos!D116+Z115+AF115+AL115-AB115-AH115-AM115</f>
        <v>60470.462495437583</v>
      </c>
      <c r="V116" s="31">
        <f>U115*(((1+Dashboard!$C$17)^(1/30))-1)</f>
        <v>22.493198338872659</v>
      </c>
      <c r="W116" s="29">
        <f t="shared" si="16"/>
        <v>110810.46249543759</v>
      </c>
      <c r="X116" s="45">
        <f>-R116+S116-Custos!D116</f>
        <v>656.59999999999991</v>
      </c>
      <c r="Z116" s="83">
        <v>0</v>
      </c>
      <c r="AA116" s="33">
        <f>AC115*(((1+Dashboard!$C$20)^(1/30))-1)</f>
        <v>289.21897864257426</v>
      </c>
      <c r="AB116" s="84">
        <v>0</v>
      </c>
      <c r="AC116" s="18">
        <f t="shared" si="25"/>
        <v>631307.69997767871</v>
      </c>
      <c r="AD116" s="47">
        <f t="shared" si="17"/>
        <v>0</v>
      </c>
      <c r="AF116" s="83">
        <v>0</v>
      </c>
      <c r="AG116" s="33">
        <f>AI115*(((1+Dashboard!$C$21)^(1/30))-1)</f>
        <v>54.141318422320872</v>
      </c>
      <c r="AH116" s="84">
        <v>0</v>
      </c>
      <c r="AI116" s="29">
        <f t="shared" si="26"/>
        <v>105843.71115526547</v>
      </c>
      <c r="AJ116" s="45">
        <f t="shared" si="18"/>
        <v>0</v>
      </c>
      <c r="AL116" s="83">
        <v>0</v>
      </c>
      <c r="AM116" s="22">
        <v>0</v>
      </c>
      <c r="AN116" s="45">
        <f t="shared" si="19"/>
        <v>0</v>
      </c>
    </row>
    <row r="117" spans="2:40" x14ac:dyDescent="0.25">
      <c r="B117" s="53">
        <f>B116*(((1+Dashboard!$C$20)^(1/30)))</f>
        <v>1052661.7525266947</v>
      </c>
      <c r="C117" s="1">
        <v>113</v>
      </c>
      <c r="D117" s="51">
        <f t="shared" si="20"/>
        <v>46286</v>
      </c>
      <c r="E117" s="7">
        <f t="shared" si="21"/>
        <v>9</v>
      </c>
      <c r="F117" s="31">
        <f>E117*Dashboard!$I$3</f>
        <v>15102</v>
      </c>
      <c r="G117" s="18">
        <f>E100*Dashboard!$I$4</f>
        <v>15750</v>
      </c>
      <c r="H117" s="48"/>
      <c r="I117" s="7">
        <f t="shared" si="22"/>
        <v>9</v>
      </c>
      <c r="J117" s="31">
        <f>I117*Dashboard!$I$3</f>
        <v>15102</v>
      </c>
      <c r="K117" s="29">
        <f>I98*Dashboard!$I$4</f>
        <v>15750</v>
      </c>
      <c r="L117" s="48"/>
      <c r="M117" s="7">
        <f t="shared" si="23"/>
        <v>12</v>
      </c>
      <c r="N117" s="31">
        <f>M117*Dashboard!$I$3</f>
        <v>20136</v>
      </c>
      <c r="O117" s="18">
        <f>M96*Dashboard!$I$4</f>
        <v>21000</v>
      </c>
      <c r="P117" s="48"/>
      <c r="Q117" s="32">
        <f t="shared" si="28"/>
        <v>30</v>
      </c>
      <c r="R117" s="31">
        <f t="shared" si="14"/>
        <v>50340</v>
      </c>
      <c r="S117" s="31">
        <f t="shared" si="15"/>
        <v>52500</v>
      </c>
      <c r="T117" s="31">
        <f t="shared" si="27"/>
        <v>2160</v>
      </c>
      <c r="U117" s="31">
        <f>U116-R117+S117+V117-Custos!D117+Z116+AF116+AL116-AB116-AH116-AM116</f>
        <v>61149.811165062369</v>
      </c>
      <c r="V117" s="31">
        <f>U116*(((1+Dashboard!$C$17)^(1/30))-1)</f>
        <v>22.748669624785439</v>
      </c>
      <c r="W117" s="29">
        <f t="shared" si="16"/>
        <v>111489.81116506236</v>
      </c>
      <c r="X117" s="45">
        <f>-R117+S117-Custos!D117</f>
        <v>656.59999999999991</v>
      </c>
      <c r="Z117" s="83">
        <v>0</v>
      </c>
      <c r="AA117" s="33">
        <f>AC116*(((1+Dashboard!$C$20)^(1/30))-1)</f>
        <v>289.35153833793316</v>
      </c>
      <c r="AB117" s="84">
        <v>0</v>
      </c>
      <c r="AC117" s="18">
        <f t="shared" si="25"/>
        <v>631597.0515160166</v>
      </c>
      <c r="AD117" s="47">
        <f t="shared" si="17"/>
        <v>0</v>
      </c>
      <c r="AF117" s="83">
        <v>0</v>
      </c>
      <c r="AG117" s="33">
        <f>AI116*(((1+Dashboard!$C$21)^(1/30))-1)</f>
        <v>54.16902703636503</v>
      </c>
      <c r="AH117" s="84">
        <v>0</v>
      </c>
      <c r="AI117" s="29">
        <f t="shared" si="26"/>
        <v>105897.88018230183</v>
      </c>
      <c r="AJ117" s="45">
        <f t="shared" si="18"/>
        <v>0</v>
      </c>
      <c r="AL117" s="83">
        <v>0</v>
      </c>
      <c r="AM117" s="22">
        <v>0</v>
      </c>
      <c r="AN117" s="45">
        <f t="shared" si="19"/>
        <v>0</v>
      </c>
    </row>
    <row r="118" spans="2:40" x14ac:dyDescent="0.25">
      <c r="B118" s="53">
        <f>B117*(((1+Dashboard!$C$20)^(1/30)))</f>
        <v>1053144.2261246785</v>
      </c>
      <c r="C118" s="1">
        <v>114</v>
      </c>
      <c r="D118" s="51">
        <f t="shared" si="20"/>
        <v>46287</v>
      </c>
      <c r="E118" s="7">
        <f t="shared" si="21"/>
        <v>9</v>
      </c>
      <c r="F118" s="31">
        <f>E118*Dashboard!$I$3</f>
        <v>15102</v>
      </c>
      <c r="G118" s="18">
        <f>E101*Dashboard!$I$4</f>
        <v>15750</v>
      </c>
      <c r="H118" s="48"/>
      <c r="I118" s="7">
        <f t="shared" si="22"/>
        <v>9</v>
      </c>
      <c r="J118" s="31">
        <f>I118*Dashboard!$I$3</f>
        <v>15102</v>
      </c>
      <c r="K118" s="29">
        <f>I99*Dashboard!$I$4</f>
        <v>15750</v>
      </c>
      <c r="L118" s="48"/>
      <c r="M118" s="7">
        <f t="shared" si="23"/>
        <v>12</v>
      </c>
      <c r="N118" s="31">
        <f>M118*Dashboard!$I$3</f>
        <v>20136</v>
      </c>
      <c r="O118" s="18">
        <f>M97*Dashboard!$I$4</f>
        <v>21000</v>
      </c>
      <c r="P118" s="48"/>
      <c r="Q118" s="32">
        <f t="shared" si="28"/>
        <v>30</v>
      </c>
      <c r="R118" s="31">
        <f t="shared" si="14"/>
        <v>50340</v>
      </c>
      <c r="S118" s="31">
        <f t="shared" si="15"/>
        <v>52500</v>
      </c>
      <c r="T118" s="31">
        <f t="shared" si="27"/>
        <v>2160</v>
      </c>
      <c r="U118" s="31">
        <f>U117-R118+S118+V118-Custos!D118+Z117+AF117+AL117-AB117-AH117-AM117</f>
        <v>61829.41540208002</v>
      </c>
      <c r="V118" s="31">
        <f>U117*(((1+Dashboard!$C$17)^(1/30))-1)</f>
        <v>23.004237017650969</v>
      </c>
      <c r="W118" s="29">
        <f t="shared" si="16"/>
        <v>112169.41540208002</v>
      </c>
      <c r="X118" s="45">
        <f>-R118+S118-Custos!D118</f>
        <v>656.59999999999991</v>
      </c>
      <c r="Z118" s="83">
        <v>0</v>
      </c>
      <c r="AA118" s="33">
        <f>AC117*(((1+Dashboard!$C$20)^(1/30))-1)</f>
        <v>289.4841587902759</v>
      </c>
      <c r="AB118" s="84">
        <v>0</v>
      </c>
      <c r="AC118" s="18">
        <f t="shared" si="25"/>
        <v>631886.53567480692</v>
      </c>
      <c r="AD118" s="47">
        <f t="shared" si="17"/>
        <v>0</v>
      </c>
      <c r="AF118" s="83">
        <v>0</v>
      </c>
      <c r="AG118" s="33">
        <f>AI117*(((1+Dashboard!$C$21)^(1/30))-1)</f>
        <v>54.196749831210745</v>
      </c>
      <c r="AH118" s="84">
        <v>0</v>
      </c>
      <c r="AI118" s="29">
        <f t="shared" si="26"/>
        <v>105952.07693213304</v>
      </c>
      <c r="AJ118" s="45">
        <f t="shared" si="18"/>
        <v>0</v>
      </c>
      <c r="AL118" s="83">
        <v>0</v>
      </c>
      <c r="AM118" s="22">
        <v>0</v>
      </c>
      <c r="AN118" s="45">
        <f t="shared" si="19"/>
        <v>0</v>
      </c>
    </row>
    <row r="119" spans="2:40" x14ac:dyDescent="0.25">
      <c r="B119" s="53">
        <f>B118*(((1+Dashboard!$C$20)^(1/30)))</f>
        <v>1053626.9208580577</v>
      </c>
      <c r="C119" s="1">
        <v>115</v>
      </c>
      <c r="D119" s="51">
        <f t="shared" si="20"/>
        <v>46288</v>
      </c>
      <c r="E119" s="7">
        <f t="shared" si="21"/>
        <v>9</v>
      </c>
      <c r="F119" s="31">
        <f>E119*Dashboard!$I$3</f>
        <v>15102</v>
      </c>
      <c r="G119" s="18">
        <f>E102*Dashboard!$I$4</f>
        <v>15750</v>
      </c>
      <c r="H119" s="48"/>
      <c r="I119" s="7">
        <f t="shared" si="22"/>
        <v>9</v>
      </c>
      <c r="J119" s="31">
        <f>I119*Dashboard!$I$3</f>
        <v>15102</v>
      </c>
      <c r="K119" s="29">
        <f>I100*Dashboard!$I$4</f>
        <v>15750</v>
      </c>
      <c r="L119" s="48"/>
      <c r="M119" s="7">
        <f t="shared" si="23"/>
        <v>12</v>
      </c>
      <c r="N119" s="31">
        <f>M119*Dashboard!$I$3</f>
        <v>20136</v>
      </c>
      <c r="O119" s="18">
        <f>M98*Dashboard!$I$4</f>
        <v>21000</v>
      </c>
      <c r="P119" s="48"/>
      <c r="Q119" s="32">
        <f t="shared" si="28"/>
        <v>30</v>
      </c>
      <c r="R119" s="31">
        <f t="shared" si="14"/>
        <v>50340</v>
      </c>
      <c r="S119" s="31">
        <f t="shared" si="15"/>
        <v>52500</v>
      </c>
      <c r="T119" s="31">
        <f t="shared" si="27"/>
        <v>2160</v>
      </c>
      <c r="U119" s="31">
        <f>U118-R119+S119+V119-Custos!D119+Z118+AF118+AL118-AB118-AH118-AM118</f>
        <v>62509.275302633643</v>
      </c>
      <c r="V119" s="31">
        <f>U118*(((1+Dashboard!$C$17)^(1/30))-1)</f>
        <v>23.259900553624178</v>
      </c>
      <c r="W119" s="29">
        <f t="shared" si="16"/>
        <v>112849.27530263364</v>
      </c>
      <c r="X119" s="45">
        <f>-R119+S119-Custos!D119</f>
        <v>656.59999999999991</v>
      </c>
      <c r="Z119" s="83">
        <v>0</v>
      </c>
      <c r="AA119" s="33">
        <f>AC118*(((1+Dashboard!$C$20)^(1/30))-1)</f>
        <v>289.61684002744983</v>
      </c>
      <c r="AB119" s="84">
        <v>0</v>
      </c>
      <c r="AC119" s="18">
        <f t="shared" si="25"/>
        <v>632176.15251483442</v>
      </c>
      <c r="AD119" s="47">
        <f t="shared" si="17"/>
        <v>0</v>
      </c>
      <c r="AF119" s="83">
        <v>0</v>
      </c>
      <c r="AG119" s="33">
        <f>AI118*(((1+Dashboard!$C$21)^(1/30))-1)</f>
        <v>54.224486814115508</v>
      </c>
      <c r="AH119" s="84">
        <v>0</v>
      </c>
      <c r="AI119" s="29">
        <f t="shared" si="26"/>
        <v>106006.30141894716</v>
      </c>
      <c r="AJ119" s="45">
        <f t="shared" si="18"/>
        <v>0</v>
      </c>
      <c r="AL119" s="83">
        <v>0</v>
      </c>
      <c r="AM119" s="22">
        <v>0</v>
      </c>
      <c r="AN119" s="45">
        <f t="shared" si="19"/>
        <v>0</v>
      </c>
    </row>
    <row r="120" spans="2:40" x14ac:dyDescent="0.25">
      <c r="B120" s="53">
        <f>B119*(((1+Dashboard!$C$20)^(1/30)))</f>
        <v>1054109.8368281866</v>
      </c>
      <c r="C120" s="1">
        <v>116</v>
      </c>
      <c r="D120" s="51">
        <f t="shared" si="20"/>
        <v>46289</v>
      </c>
      <c r="E120" s="7">
        <f t="shared" si="21"/>
        <v>9</v>
      </c>
      <c r="F120" s="31">
        <f>E120*Dashboard!$I$3</f>
        <v>15102</v>
      </c>
      <c r="G120" s="18">
        <f>E103*Dashboard!$I$4</f>
        <v>15750</v>
      </c>
      <c r="H120" s="48"/>
      <c r="I120" s="7">
        <f t="shared" si="22"/>
        <v>9</v>
      </c>
      <c r="J120" s="31">
        <f>I120*Dashboard!$I$3</f>
        <v>15102</v>
      </c>
      <c r="K120" s="29">
        <f>I101*Dashboard!$I$4</f>
        <v>15750</v>
      </c>
      <c r="L120" s="48"/>
      <c r="M120" s="7">
        <f t="shared" si="23"/>
        <v>12</v>
      </c>
      <c r="N120" s="31">
        <f>M120*Dashboard!$I$3</f>
        <v>20136</v>
      </c>
      <c r="O120" s="18">
        <f>M99*Dashboard!$I$4</f>
        <v>21000</v>
      </c>
      <c r="P120" s="48"/>
      <c r="Q120" s="32">
        <f t="shared" si="28"/>
        <v>30</v>
      </c>
      <c r="R120" s="31">
        <f t="shared" si="14"/>
        <v>50340</v>
      </c>
      <c r="S120" s="31">
        <f t="shared" si="15"/>
        <v>52500</v>
      </c>
      <c r="T120" s="31">
        <f t="shared" si="27"/>
        <v>2160</v>
      </c>
      <c r="U120" s="31">
        <f>U119-R120+S120+V120-Custos!D120+Z119+AF119+AL119-AB119-AH119-AM119</f>
        <v>63189.390962902515</v>
      </c>
      <c r="V120" s="31">
        <f>U119*(((1+Dashboard!$C$17)^(1/30))-1)</f>
        <v>23.515660268873596</v>
      </c>
      <c r="W120" s="29">
        <f t="shared" si="16"/>
        <v>113529.39096290251</v>
      </c>
      <c r="X120" s="45">
        <f>-R120+S120-Custos!D120</f>
        <v>656.59999999999991</v>
      </c>
      <c r="Z120" s="83">
        <v>0</v>
      </c>
      <c r="AA120" s="33">
        <f>AC119*(((1+Dashboard!$C$20)^(1/30))-1)</f>
        <v>289.7495820773147</v>
      </c>
      <c r="AB120" s="84">
        <v>0</v>
      </c>
      <c r="AC120" s="18">
        <f t="shared" si="25"/>
        <v>632465.90209691168</v>
      </c>
      <c r="AD120" s="47">
        <f t="shared" si="17"/>
        <v>0</v>
      </c>
      <c r="AF120" s="83">
        <v>0</v>
      </c>
      <c r="AG120" s="33">
        <f>AI119*(((1+Dashboard!$C$21)^(1/30))-1)</f>
        <v>54.252237992340518</v>
      </c>
      <c r="AH120" s="84">
        <v>0</v>
      </c>
      <c r="AI120" s="29">
        <f t="shared" si="26"/>
        <v>106060.5536569395</v>
      </c>
      <c r="AJ120" s="45">
        <f t="shared" si="18"/>
        <v>0</v>
      </c>
      <c r="AL120" s="83">
        <v>0</v>
      </c>
      <c r="AM120" s="22">
        <v>0</v>
      </c>
      <c r="AN120" s="45">
        <f t="shared" si="19"/>
        <v>0</v>
      </c>
    </row>
    <row r="121" spans="2:40" x14ac:dyDescent="0.25">
      <c r="B121" s="53">
        <f>B120*(((1+Dashboard!$C$20)^(1/30)))</f>
        <v>1054592.9741364662</v>
      </c>
      <c r="C121" s="1">
        <v>117</v>
      </c>
      <c r="D121" s="51">
        <f t="shared" si="20"/>
        <v>46290</v>
      </c>
      <c r="E121" s="7">
        <f t="shared" si="21"/>
        <v>9</v>
      </c>
      <c r="F121" s="31">
        <f>E121*Dashboard!$I$3</f>
        <v>15102</v>
      </c>
      <c r="G121" s="18">
        <f>E104*Dashboard!$I$4</f>
        <v>15750</v>
      </c>
      <c r="H121" s="48"/>
      <c r="I121" s="7">
        <f t="shared" si="22"/>
        <v>9</v>
      </c>
      <c r="J121" s="31">
        <f>I121*Dashboard!$I$3</f>
        <v>15102</v>
      </c>
      <c r="K121" s="29">
        <f>I102*Dashboard!$I$4</f>
        <v>15750</v>
      </c>
      <c r="L121" s="48"/>
      <c r="M121" s="7">
        <f t="shared" si="23"/>
        <v>12</v>
      </c>
      <c r="N121" s="31">
        <f>M121*Dashboard!$I$3</f>
        <v>20136</v>
      </c>
      <c r="O121" s="18">
        <f>M100*Dashboard!$I$4</f>
        <v>21000</v>
      </c>
      <c r="P121" s="48"/>
      <c r="Q121" s="32">
        <f t="shared" si="28"/>
        <v>30</v>
      </c>
      <c r="R121" s="31">
        <f t="shared" si="14"/>
        <v>50340</v>
      </c>
      <c r="S121" s="31">
        <f t="shared" si="15"/>
        <v>52500</v>
      </c>
      <c r="T121" s="31">
        <f t="shared" si="27"/>
        <v>2160</v>
      </c>
      <c r="U121" s="31">
        <f>U120-R121+S121+V121-Custos!D121+Z120+AF120+AL120-AB120-AH120-AM120</f>
        <v>63869.762479102093</v>
      </c>
      <c r="V121" s="31">
        <f>U120*(((1+Dashboard!$C$17)^(1/30))-1)</f>
        <v>23.771516199581367</v>
      </c>
      <c r="W121" s="29">
        <f t="shared" si="16"/>
        <v>114209.76247910209</v>
      </c>
      <c r="X121" s="45">
        <f>-R121+S121-Custos!D121</f>
        <v>656.59999999999991</v>
      </c>
      <c r="Z121" s="83">
        <v>0</v>
      </c>
      <c r="AA121" s="33">
        <f>AC120*(((1+Dashboard!$C$20)^(1/30))-1)</f>
        <v>289.88238496774323</v>
      </c>
      <c r="AB121" s="84">
        <v>0</v>
      </c>
      <c r="AC121" s="18">
        <f t="shared" si="25"/>
        <v>632755.78448187944</v>
      </c>
      <c r="AD121" s="47">
        <f t="shared" si="17"/>
        <v>0</v>
      </c>
      <c r="AF121" s="83">
        <v>0</v>
      </c>
      <c r="AG121" s="33">
        <f>AI120*(((1+Dashboard!$C$21)^(1/30))-1)</f>
        <v>54.28000337315072</v>
      </c>
      <c r="AH121" s="84">
        <v>0</v>
      </c>
      <c r="AI121" s="29">
        <f t="shared" si="26"/>
        <v>106114.83366031265</v>
      </c>
      <c r="AJ121" s="45">
        <f t="shared" si="18"/>
        <v>0</v>
      </c>
      <c r="AL121" s="83">
        <v>0</v>
      </c>
      <c r="AM121" s="22">
        <v>0</v>
      </c>
      <c r="AN121" s="45">
        <f t="shared" si="19"/>
        <v>0</v>
      </c>
    </row>
    <row r="122" spans="2:40" x14ac:dyDescent="0.25">
      <c r="B122" s="53">
        <f>B121*(((1+Dashboard!$C$20)^(1/30)))</f>
        <v>1055076.3328843438</v>
      </c>
      <c r="C122" s="1">
        <v>118</v>
      </c>
      <c r="D122" s="51">
        <f t="shared" si="20"/>
        <v>46291</v>
      </c>
      <c r="E122" s="7">
        <f t="shared" si="21"/>
        <v>9</v>
      </c>
      <c r="F122" s="31">
        <f>E122*Dashboard!$I$3</f>
        <v>15102</v>
      </c>
      <c r="G122" s="18">
        <f>E105*Dashboard!$I$4</f>
        <v>15750</v>
      </c>
      <c r="H122" s="48"/>
      <c r="I122" s="7">
        <f t="shared" si="22"/>
        <v>9</v>
      </c>
      <c r="J122" s="31">
        <f>I122*Dashboard!$I$3</f>
        <v>15102</v>
      </c>
      <c r="K122" s="29">
        <f>I103*Dashboard!$I$4</f>
        <v>15750</v>
      </c>
      <c r="L122" s="48"/>
      <c r="M122" s="7">
        <f t="shared" si="23"/>
        <v>12</v>
      </c>
      <c r="N122" s="31">
        <f>M122*Dashboard!$I$3</f>
        <v>20136</v>
      </c>
      <c r="O122" s="18">
        <f>M101*Dashboard!$I$4</f>
        <v>21000</v>
      </c>
      <c r="P122" s="48"/>
      <c r="Q122" s="32">
        <f t="shared" si="28"/>
        <v>30</v>
      </c>
      <c r="R122" s="31">
        <f t="shared" si="14"/>
        <v>50340</v>
      </c>
      <c r="S122" s="31">
        <f t="shared" si="15"/>
        <v>52500</v>
      </c>
      <c r="T122" s="31">
        <f t="shared" si="27"/>
        <v>2160</v>
      </c>
      <c r="U122" s="31">
        <f>U121-R122+S122+V122-Custos!D122+Z121+AF121+AL121-AB121-AH121-AM121</f>
        <v>64550.389947484036</v>
      </c>
      <c r="V122" s="31">
        <f>U121*(((1+Dashboard!$C$17)^(1/30))-1)</f>
        <v>24.02746838194323</v>
      </c>
      <c r="W122" s="29">
        <f t="shared" si="16"/>
        <v>114890.38994748404</v>
      </c>
      <c r="X122" s="45">
        <f>-R122+S122-Custos!D122</f>
        <v>656.59999999999991</v>
      </c>
      <c r="Z122" s="83">
        <v>0</v>
      </c>
      <c r="AA122" s="33">
        <f>AC121*(((1+Dashboard!$C$20)^(1/30))-1)</f>
        <v>290.015248726621</v>
      </c>
      <c r="AB122" s="84">
        <v>0</v>
      </c>
      <c r="AC122" s="18">
        <f t="shared" si="25"/>
        <v>633045.79973060603</v>
      </c>
      <c r="AD122" s="47">
        <f t="shared" si="17"/>
        <v>0</v>
      </c>
      <c r="AF122" s="83">
        <v>0</v>
      </c>
      <c r="AG122" s="33">
        <f>AI121*(((1+Dashboard!$C$21)^(1/30))-1)</f>
        <v>54.307782963814738</v>
      </c>
      <c r="AH122" s="84">
        <v>0</v>
      </c>
      <c r="AI122" s="29">
        <f t="shared" si="26"/>
        <v>106169.14144327647</v>
      </c>
      <c r="AJ122" s="45">
        <f t="shared" si="18"/>
        <v>0</v>
      </c>
      <c r="AL122" s="83">
        <v>0</v>
      </c>
      <c r="AM122" s="22">
        <v>0</v>
      </c>
      <c r="AN122" s="45">
        <f t="shared" si="19"/>
        <v>0</v>
      </c>
    </row>
    <row r="123" spans="2:40" x14ac:dyDescent="0.25">
      <c r="B123" s="53">
        <f>B122*(((1+Dashboard!$C$20)^(1/30)))</f>
        <v>1055559.9131733135</v>
      </c>
      <c r="C123" s="1">
        <v>119</v>
      </c>
      <c r="D123" s="51">
        <f t="shared" si="20"/>
        <v>46292</v>
      </c>
      <c r="E123" s="7">
        <f t="shared" si="21"/>
        <v>9</v>
      </c>
      <c r="F123" s="31">
        <f>E123*Dashboard!$I$3</f>
        <v>15102</v>
      </c>
      <c r="G123" s="18">
        <f>E106*Dashboard!$I$4</f>
        <v>15750</v>
      </c>
      <c r="H123" s="48"/>
      <c r="I123" s="7">
        <f t="shared" si="22"/>
        <v>9</v>
      </c>
      <c r="J123" s="31">
        <f>I123*Dashboard!$I$3</f>
        <v>15102</v>
      </c>
      <c r="K123" s="29">
        <f>I104*Dashboard!$I$4</f>
        <v>15750</v>
      </c>
      <c r="L123" s="48"/>
      <c r="M123" s="7">
        <f t="shared" si="23"/>
        <v>12</v>
      </c>
      <c r="N123" s="31">
        <f>M123*Dashboard!$I$3</f>
        <v>20136</v>
      </c>
      <c r="O123" s="18">
        <f>M102*Dashboard!$I$4</f>
        <v>21000</v>
      </c>
      <c r="P123" s="48"/>
      <c r="Q123" s="32">
        <f t="shared" si="28"/>
        <v>30</v>
      </c>
      <c r="R123" s="31">
        <f t="shared" si="14"/>
        <v>50340</v>
      </c>
      <c r="S123" s="31">
        <f t="shared" si="15"/>
        <v>52500</v>
      </c>
      <c r="T123" s="31">
        <f t="shared" si="27"/>
        <v>2160</v>
      </c>
      <c r="U123" s="31">
        <f>U122-R123+S123+V123-Custos!D123+Z122+AF122+AL122-AB122-AH122-AM122</f>
        <v>65231.273464336213</v>
      </c>
      <c r="V123" s="31">
        <f>U122*(((1+Dashboard!$C$17)^(1/30))-1)</f>
        <v>24.28351685216856</v>
      </c>
      <c r="W123" s="29">
        <f t="shared" si="16"/>
        <v>115571.27346433621</v>
      </c>
      <c r="X123" s="45">
        <f>-R123+S123-Custos!D123</f>
        <v>656.59999999999991</v>
      </c>
      <c r="Z123" s="83">
        <v>0</v>
      </c>
      <c r="AA123" s="33">
        <f>AC122*(((1+Dashboard!$C$20)^(1/30))-1)</f>
        <v>290.14817338184611</v>
      </c>
      <c r="AB123" s="84">
        <v>0</v>
      </c>
      <c r="AC123" s="18">
        <f t="shared" si="25"/>
        <v>633335.94790398784</v>
      </c>
      <c r="AD123" s="47">
        <f t="shared" si="17"/>
        <v>0</v>
      </c>
      <c r="AF123" s="83">
        <v>0</v>
      </c>
      <c r="AG123" s="33">
        <f>AI122*(((1+Dashboard!$C$21)^(1/30))-1)</f>
        <v>54.335576771604956</v>
      </c>
      <c r="AH123" s="84">
        <v>0</v>
      </c>
      <c r="AI123" s="29">
        <f t="shared" si="26"/>
        <v>106223.47702004807</v>
      </c>
      <c r="AJ123" s="45">
        <f t="shared" si="18"/>
        <v>0</v>
      </c>
      <c r="AL123" s="83">
        <v>0</v>
      </c>
      <c r="AM123" s="22">
        <v>0</v>
      </c>
      <c r="AN123" s="45">
        <f t="shared" si="19"/>
        <v>0</v>
      </c>
    </row>
    <row r="124" spans="2:40" x14ac:dyDescent="0.25">
      <c r="B124" s="53">
        <f>B123*(((1+Dashboard!$C$20)^(1/30)))</f>
        <v>1056043.7151049157</v>
      </c>
      <c r="C124" s="1">
        <v>120</v>
      </c>
      <c r="D124" s="51">
        <f t="shared" si="20"/>
        <v>46293</v>
      </c>
      <c r="E124" s="7">
        <f t="shared" si="21"/>
        <v>9</v>
      </c>
      <c r="F124" s="31">
        <f>E124*Dashboard!$I$3</f>
        <v>15102</v>
      </c>
      <c r="G124" s="18">
        <f>E107*Dashboard!$I$4</f>
        <v>15750</v>
      </c>
      <c r="H124" s="48"/>
      <c r="I124" s="7">
        <f t="shared" si="22"/>
        <v>9</v>
      </c>
      <c r="J124" s="31">
        <f>I124*Dashboard!$I$3</f>
        <v>15102</v>
      </c>
      <c r="K124" s="29">
        <f>I105*Dashboard!$I$4</f>
        <v>15750</v>
      </c>
      <c r="L124" s="48"/>
      <c r="M124" s="7">
        <f t="shared" si="23"/>
        <v>12</v>
      </c>
      <c r="N124" s="31">
        <f>M124*Dashboard!$I$3</f>
        <v>20136</v>
      </c>
      <c r="O124" s="18">
        <f>M103*Dashboard!$I$4</f>
        <v>21000</v>
      </c>
      <c r="P124" s="48"/>
      <c r="Q124" s="32">
        <f t="shared" si="28"/>
        <v>30</v>
      </c>
      <c r="R124" s="31">
        <f t="shared" si="14"/>
        <v>50340</v>
      </c>
      <c r="S124" s="31">
        <f t="shared" si="15"/>
        <v>52500</v>
      </c>
      <c r="T124" s="31">
        <f t="shared" si="27"/>
        <v>2160</v>
      </c>
      <c r="U124" s="31">
        <f>U123-R124+S124+V124-Custos!D124+Z123+AF123+AL123-AB123-AH123-AM123</f>
        <v>65912.413125982697</v>
      </c>
      <c r="V124" s="31">
        <f>U123*(((1+Dashboard!$C$17)^(1/30))-1)</f>
        <v>24.53966164648034</v>
      </c>
      <c r="W124" s="29">
        <f t="shared" si="16"/>
        <v>116252.4131259827</v>
      </c>
      <c r="X124" s="45">
        <f>-R124+S124-Custos!D124</f>
        <v>656.59999999999991</v>
      </c>
      <c r="Z124" s="83">
        <v>0</v>
      </c>
      <c r="AA124" s="33">
        <f>AC123*(((1+Dashboard!$C$20)^(1/30))-1)</f>
        <v>290.28115896132965</v>
      </c>
      <c r="AB124" s="84">
        <v>0</v>
      </c>
      <c r="AC124" s="18">
        <f t="shared" si="25"/>
        <v>633626.22906294919</v>
      </c>
      <c r="AD124" s="47">
        <f t="shared" si="17"/>
        <v>0</v>
      </c>
      <c r="AF124" s="83">
        <v>0</v>
      </c>
      <c r="AG124" s="33">
        <f>AI123*(((1+Dashboard!$C$21)^(1/30))-1)</f>
        <v>54.36338480379743</v>
      </c>
      <c r="AH124" s="84">
        <v>0</v>
      </c>
      <c r="AI124" s="29">
        <f t="shared" si="26"/>
        <v>106277.84040485187</v>
      </c>
      <c r="AJ124" s="45">
        <f t="shared" si="18"/>
        <v>0</v>
      </c>
      <c r="AL124" s="83">
        <v>0</v>
      </c>
      <c r="AM124" s="22">
        <v>0</v>
      </c>
      <c r="AN124" s="45">
        <f t="shared" si="19"/>
        <v>0</v>
      </c>
    </row>
    <row r="125" spans="2:40" x14ac:dyDescent="0.25">
      <c r="B125" s="53">
        <f>B124*(((1+Dashboard!$C$20)^(1/30)))</f>
        <v>1056527.7387807374</v>
      </c>
      <c r="C125" s="1">
        <v>121</v>
      </c>
      <c r="D125" s="51">
        <f t="shared" si="20"/>
        <v>46294</v>
      </c>
      <c r="E125" s="7">
        <f t="shared" si="21"/>
        <v>9</v>
      </c>
      <c r="F125" s="31">
        <f>E125*Dashboard!$I$3</f>
        <v>15102</v>
      </c>
      <c r="G125" s="18">
        <f>E108*Dashboard!$I$4</f>
        <v>15750</v>
      </c>
      <c r="H125" s="48"/>
      <c r="I125" s="7">
        <f t="shared" si="22"/>
        <v>9</v>
      </c>
      <c r="J125" s="31">
        <f>I125*Dashboard!$I$3</f>
        <v>15102</v>
      </c>
      <c r="K125" s="29">
        <f>I106*Dashboard!$I$4</f>
        <v>15750</v>
      </c>
      <c r="L125" s="48"/>
      <c r="M125" s="7">
        <f t="shared" si="23"/>
        <v>12</v>
      </c>
      <c r="N125" s="31">
        <f>M125*Dashboard!$I$3</f>
        <v>20136</v>
      </c>
      <c r="O125" s="18">
        <f>M104*Dashboard!$I$4</f>
        <v>21000</v>
      </c>
      <c r="P125" s="48"/>
      <c r="Q125" s="32">
        <f t="shared" si="28"/>
        <v>30</v>
      </c>
      <c r="R125" s="31">
        <f t="shared" si="14"/>
        <v>50340</v>
      </c>
      <c r="S125" s="31">
        <f t="shared" si="15"/>
        <v>52500</v>
      </c>
      <c r="T125" s="31">
        <f t="shared" si="27"/>
        <v>2160</v>
      </c>
      <c r="U125" s="31">
        <f>U124-R125+S125+V125-Custos!D125+Z124+AF124+AL124-AB124-AH124-AM124</f>
        <v>66593.809028783813</v>
      </c>
      <c r="V125" s="31">
        <f>U124*(((1+Dashboard!$C$17)^(1/30))-1)</f>
        <v>24.795902801115187</v>
      </c>
      <c r="W125" s="29">
        <f t="shared" si="16"/>
        <v>116933.80902878381</v>
      </c>
      <c r="X125" s="45">
        <f>-R125+S125-Custos!D125</f>
        <v>656.59999999999991</v>
      </c>
      <c r="Z125" s="83">
        <v>0</v>
      </c>
      <c r="AA125" s="33">
        <f>AC124*(((1+Dashboard!$C$20)^(1/30))-1)</f>
        <v>290.41420549299551</v>
      </c>
      <c r="AB125" s="84">
        <v>0</v>
      </c>
      <c r="AC125" s="18">
        <f t="shared" si="25"/>
        <v>633916.64326844213</v>
      </c>
      <c r="AD125" s="47">
        <f t="shared" si="17"/>
        <v>0</v>
      </c>
      <c r="AF125" s="83">
        <v>0</v>
      </c>
      <c r="AG125" s="33">
        <f>AI124*(((1+Dashboard!$C$21)^(1/30))-1)</f>
        <v>54.391207067671999</v>
      </c>
      <c r="AH125" s="84">
        <v>0</v>
      </c>
      <c r="AI125" s="29">
        <f t="shared" si="26"/>
        <v>106332.23161191955</v>
      </c>
      <c r="AJ125" s="45">
        <f t="shared" si="18"/>
        <v>0</v>
      </c>
      <c r="AL125" s="83">
        <v>0</v>
      </c>
      <c r="AM125" s="22">
        <v>0</v>
      </c>
      <c r="AN125" s="45">
        <f t="shared" si="19"/>
        <v>0</v>
      </c>
    </row>
    <row r="126" spans="2:40" x14ac:dyDescent="0.25">
      <c r="B126" s="53">
        <f>B125*(((1+Dashboard!$C$20)^(1/30)))</f>
        <v>1057011.984302412</v>
      </c>
      <c r="C126" s="1">
        <v>122</v>
      </c>
      <c r="D126" s="51">
        <f t="shared" si="20"/>
        <v>46295</v>
      </c>
      <c r="E126" s="7">
        <f t="shared" si="21"/>
        <v>9</v>
      </c>
      <c r="F126" s="31">
        <f>E126*Dashboard!$I$3</f>
        <v>15102</v>
      </c>
      <c r="G126" s="18">
        <f>E109*Dashboard!$I$4</f>
        <v>15750</v>
      </c>
      <c r="H126" s="48"/>
      <c r="I126" s="7">
        <f t="shared" si="22"/>
        <v>9</v>
      </c>
      <c r="J126" s="31">
        <f>I126*Dashboard!$I$3</f>
        <v>15102</v>
      </c>
      <c r="K126" s="29">
        <f>I107*Dashboard!$I$4</f>
        <v>15750</v>
      </c>
      <c r="L126" s="48"/>
      <c r="M126" s="7">
        <f t="shared" si="23"/>
        <v>12</v>
      </c>
      <c r="N126" s="31">
        <f>M126*Dashboard!$I$3</f>
        <v>20136</v>
      </c>
      <c r="O126" s="18">
        <f>M105*Dashboard!$I$4</f>
        <v>21000</v>
      </c>
      <c r="P126" s="48"/>
      <c r="Q126" s="32">
        <f t="shared" si="28"/>
        <v>30</v>
      </c>
      <c r="R126" s="31">
        <f t="shared" si="14"/>
        <v>50340</v>
      </c>
      <c r="S126" s="31">
        <f t="shared" si="15"/>
        <v>52500</v>
      </c>
      <c r="T126" s="31">
        <f t="shared" si="27"/>
        <v>2160</v>
      </c>
      <c r="U126" s="31">
        <f>U125-R126+S126+V126-Custos!D126+Z125+AF125+AL125-AB125-AH125-AM125</f>
        <v>67275.46126913614</v>
      </c>
      <c r="V126" s="31">
        <f>U125*(((1+Dashboard!$C$17)^(1/30))-1)</f>
        <v>25.052240352323341</v>
      </c>
      <c r="W126" s="29">
        <f t="shared" si="16"/>
        <v>117615.46126913614</v>
      </c>
      <c r="X126" s="45">
        <f>-R126+S126-Custos!D126</f>
        <v>656.59999999999991</v>
      </c>
      <c r="Z126" s="83">
        <v>0</v>
      </c>
      <c r="AA126" s="33">
        <f>AC125*(((1+Dashboard!$C$20)^(1/30))-1)</f>
        <v>290.54731300478028</v>
      </c>
      <c r="AB126" s="84">
        <v>0</v>
      </c>
      <c r="AC126" s="18">
        <f t="shared" si="25"/>
        <v>634207.19058144686</v>
      </c>
      <c r="AD126" s="47">
        <f t="shared" si="17"/>
        <v>0</v>
      </c>
      <c r="AF126" s="83">
        <v>0</v>
      </c>
      <c r="AG126" s="33">
        <f>AI125*(((1+Dashboard!$C$21)^(1/30))-1)</f>
        <v>54.419043570512187</v>
      </c>
      <c r="AH126" s="84">
        <v>0</v>
      </c>
      <c r="AI126" s="29">
        <f t="shared" si="26"/>
        <v>106386.65065549006</v>
      </c>
      <c r="AJ126" s="45">
        <f t="shared" si="18"/>
        <v>0</v>
      </c>
      <c r="AL126" s="83">
        <v>0</v>
      </c>
      <c r="AM126" s="22">
        <v>0</v>
      </c>
      <c r="AN126" s="45">
        <f t="shared" si="19"/>
        <v>0</v>
      </c>
    </row>
    <row r="127" spans="2:40" x14ac:dyDescent="0.25">
      <c r="B127" s="53">
        <f>B126*(((1+Dashboard!$C$20)^(1/30)))</f>
        <v>1057496.4517716197</v>
      </c>
      <c r="C127" s="1">
        <v>123</v>
      </c>
      <c r="D127" s="51">
        <f t="shared" si="20"/>
        <v>46296</v>
      </c>
      <c r="E127" s="7">
        <f t="shared" si="21"/>
        <v>9</v>
      </c>
      <c r="F127" s="31">
        <f>E127*Dashboard!$I$3</f>
        <v>15102</v>
      </c>
      <c r="G127" s="18">
        <f>E110*Dashboard!$I$4</f>
        <v>15750</v>
      </c>
      <c r="H127" s="48"/>
      <c r="I127" s="7">
        <f t="shared" si="22"/>
        <v>9</v>
      </c>
      <c r="J127" s="31">
        <f>I127*Dashboard!$I$3</f>
        <v>15102</v>
      </c>
      <c r="K127" s="29">
        <f>I108*Dashboard!$I$4</f>
        <v>15750</v>
      </c>
      <c r="L127" s="48"/>
      <c r="M127" s="7">
        <f t="shared" si="23"/>
        <v>12</v>
      </c>
      <c r="N127" s="31">
        <f>M127*Dashboard!$I$3</f>
        <v>20136</v>
      </c>
      <c r="O127" s="18">
        <f>M106*Dashboard!$I$4</f>
        <v>21000</v>
      </c>
      <c r="P127" s="48"/>
      <c r="Q127" s="32">
        <f t="shared" si="28"/>
        <v>30</v>
      </c>
      <c r="R127" s="31">
        <f t="shared" si="14"/>
        <v>50340</v>
      </c>
      <c r="S127" s="31">
        <f t="shared" si="15"/>
        <v>52500</v>
      </c>
      <c r="T127" s="31">
        <f t="shared" si="27"/>
        <v>2160</v>
      </c>
      <c r="U127" s="31">
        <f>U126-R127+S127+V127-Custos!D127+Z126+AF126+AL126-AB126-AH126-AM126</f>
        <v>67957.369943472513</v>
      </c>
      <c r="V127" s="31">
        <f>U126*(((1+Dashboard!$C$17)^(1/30))-1)</f>
        <v>25.308674336368689</v>
      </c>
      <c r="W127" s="29">
        <f t="shared" si="16"/>
        <v>118297.36994347251</v>
      </c>
      <c r="X127" s="45">
        <f>-R127+S127-Custos!D127</f>
        <v>656.59999999999991</v>
      </c>
      <c r="Z127" s="83">
        <v>0</v>
      </c>
      <c r="AA127" s="33">
        <f>AC126*(((1+Dashboard!$C$20)^(1/30))-1)</f>
        <v>290.68048152463331</v>
      </c>
      <c r="AB127" s="84">
        <v>0</v>
      </c>
      <c r="AC127" s="18">
        <f t="shared" si="25"/>
        <v>634497.87106297154</v>
      </c>
      <c r="AD127" s="47">
        <f t="shared" si="17"/>
        <v>0</v>
      </c>
      <c r="AF127" s="83">
        <v>0</v>
      </c>
      <c r="AG127" s="33">
        <f>AI126*(((1+Dashboard!$C$21)^(1/30))-1)</f>
        <v>54.446894319605249</v>
      </c>
      <c r="AH127" s="84">
        <v>0</v>
      </c>
      <c r="AI127" s="29">
        <f t="shared" si="26"/>
        <v>106441.09754980967</v>
      </c>
      <c r="AJ127" s="45">
        <f t="shared" si="18"/>
        <v>0</v>
      </c>
      <c r="AL127" s="83">
        <v>0</v>
      </c>
      <c r="AM127" s="22">
        <v>0</v>
      </c>
      <c r="AN127" s="45">
        <f>-AL127+AM127</f>
        <v>0</v>
      </c>
    </row>
    <row r="128" spans="2:40" x14ac:dyDescent="0.25">
      <c r="B128" s="53">
        <f>B127*(((1+Dashboard!$C$20)^(1/30)))</f>
        <v>1057981.1412900873</v>
      </c>
      <c r="C128" s="1">
        <v>124</v>
      </c>
      <c r="D128" s="51">
        <f t="shared" si="20"/>
        <v>46297</v>
      </c>
      <c r="E128" s="7">
        <f t="shared" si="21"/>
        <v>9</v>
      </c>
      <c r="F128" s="31">
        <f>E128*Dashboard!$I$3</f>
        <v>15102</v>
      </c>
      <c r="G128" s="18">
        <f>E111*Dashboard!$I$4</f>
        <v>15750</v>
      </c>
      <c r="H128" s="48"/>
      <c r="I128" s="7">
        <f t="shared" si="22"/>
        <v>9</v>
      </c>
      <c r="J128" s="31">
        <f>I128*Dashboard!$I$3</f>
        <v>15102</v>
      </c>
      <c r="K128" s="29">
        <f>I109*Dashboard!$I$4</f>
        <v>15750</v>
      </c>
      <c r="L128" s="48"/>
      <c r="M128" s="7">
        <f t="shared" si="23"/>
        <v>12</v>
      </c>
      <c r="N128" s="31">
        <f>M128*Dashboard!$I$3</f>
        <v>20136</v>
      </c>
      <c r="O128" s="18">
        <f>M107*Dashboard!$I$4</f>
        <v>21000</v>
      </c>
      <c r="P128" s="48"/>
      <c r="Q128" s="32">
        <f t="shared" ref="Q128:Q191" si="29">E128+I128+M128</f>
        <v>30</v>
      </c>
      <c r="R128" s="31">
        <f t="shared" ref="R128:R191" si="30">F128+J128+N128</f>
        <v>50340</v>
      </c>
      <c r="S128" s="31">
        <f t="shared" ref="S128:S191" si="31">G128+K128+O128</f>
        <v>52500</v>
      </c>
      <c r="T128" s="31">
        <f t="shared" ref="T128:T191" si="32">S128-R111</f>
        <v>2160</v>
      </c>
      <c r="U128" s="31">
        <f>U127-R128+S128+V128-Custos!D128+Z127+AF127+AL127-AB127-AH127-AM127</f>
        <v>68639.535148262046</v>
      </c>
      <c r="V128" s="31">
        <f>U127*(((1+Dashboard!$C$17)^(1/30))-1)</f>
        <v>25.56520478952876</v>
      </c>
      <c r="W128" s="29">
        <f t="shared" ref="W128:W191" si="33">U128+R128</f>
        <v>118979.53514826205</v>
      </c>
      <c r="X128" s="45">
        <f>-R128+S128-Custos!D128</f>
        <v>656.59999999999991</v>
      </c>
      <c r="Z128" s="83">
        <v>0</v>
      </c>
      <c r="AA128" s="33">
        <f>AC127*(((1+Dashboard!$C$20)^(1/30))-1)</f>
        <v>290.81371108051701</v>
      </c>
      <c r="AB128" s="84">
        <v>0</v>
      </c>
      <c r="AC128" s="18">
        <f t="shared" si="25"/>
        <v>634788.684774052</v>
      </c>
      <c r="AD128" s="47">
        <f t="shared" ref="AD128:AD191" si="34">-Z128+AB128</f>
        <v>0</v>
      </c>
      <c r="AF128" s="83">
        <v>0</v>
      </c>
      <c r="AG128" s="33">
        <f>AI127*(((1+Dashboard!$C$21)^(1/30))-1)</f>
        <v>54.474759322242193</v>
      </c>
      <c r="AH128" s="84">
        <v>0</v>
      </c>
      <c r="AI128" s="29">
        <f t="shared" si="26"/>
        <v>106495.57230913191</v>
      </c>
      <c r="AJ128" s="45">
        <f t="shared" ref="AJ128:AJ191" si="35">-AF128+AH128</f>
        <v>0</v>
      </c>
      <c r="AL128" s="83">
        <v>0</v>
      </c>
      <c r="AM128" s="22">
        <v>0</v>
      </c>
      <c r="AN128" s="45">
        <f t="shared" ref="AN128:AN191" si="36">-AL128+AM128</f>
        <v>0</v>
      </c>
    </row>
    <row r="129" spans="2:40" x14ac:dyDescent="0.25">
      <c r="B129" s="53">
        <f>B128*(((1+Dashboard!$C$20)^(1/30)))</f>
        <v>1058466.0529595879</v>
      </c>
      <c r="C129" s="1">
        <v>125</v>
      </c>
      <c r="D129" s="51">
        <f t="shared" si="20"/>
        <v>46298</v>
      </c>
      <c r="E129" s="7">
        <f t="shared" si="21"/>
        <v>9</v>
      </c>
      <c r="F129" s="31">
        <f>E129*Dashboard!$I$3</f>
        <v>15102</v>
      </c>
      <c r="G129" s="18">
        <f>E112*Dashboard!$I$4</f>
        <v>15750</v>
      </c>
      <c r="H129" s="48"/>
      <c r="I129" s="7">
        <f t="shared" si="22"/>
        <v>9</v>
      </c>
      <c r="J129" s="31">
        <f>I129*Dashboard!$I$3</f>
        <v>15102</v>
      </c>
      <c r="K129" s="29">
        <f>I110*Dashboard!$I$4</f>
        <v>15750</v>
      </c>
      <c r="L129" s="48"/>
      <c r="M129" s="7">
        <f t="shared" si="23"/>
        <v>12</v>
      </c>
      <c r="N129" s="31">
        <f>M129*Dashboard!$I$3</f>
        <v>20136</v>
      </c>
      <c r="O129" s="18">
        <f>M108*Dashboard!$I$4</f>
        <v>21000</v>
      </c>
      <c r="P129" s="48"/>
      <c r="Q129" s="32">
        <f t="shared" si="29"/>
        <v>30</v>
      </c>
      <c r="R129" s="31">
        <f t="shared" si="30"/>
        <v>50340</v>
      </c>
      <c r="S129" s="31">
        <f t="shared" si="31"/>
        <v>52500</v>
      </c>
      <c r="T129" s="31">
        <f t="shared" si="32"/>
        <v>2160</v>
      </c>
      <c r="U129" s="31">
        <f>U128-R129+S129+V129-Custos!D129+Z128+AF128+AL128-AB128-AH128-AM128</f>
        <v>69321.956980010145</v>
      </c>
      <c r="V129" s="31">
        <f>U128*(((1+Dashboard!$C$17)^(1/30))-1)</f>
        <v>25.82183174809472</v>
      </c>
      <c r="W129" s="29">
        <f t="shared" si="33"/>
        <v>119661.95698001015</v>
      </c>
      <c r="X129" s="45">
        <f>-R129+S129-Custos!D129</f>
        <v>656.59999999999991</v>
      </c>
      <c r="Z129" s="83">
        <v>0</v>
      </c>
      <c r="AA129" s="33">
        <f>AC128*(((1+Dashboard!$C$20)^(1/30))-1)</f>
        <v>290.9470017004063</v>
      </c>
      <c r="AB129" s="84">
        <v>0</v>
      </c>
      <c r="AC129" s="18">
        <f t="shared" si="25"/>
        <v>635079.63177575241</v>
      </c>
      <c r="AD129" s="47">
        <f t="shared" si="34"/>
        <v>0</v>
      </c>
      <c r="AF129" s="83">
        <v>0</v>
      </c>
      <c r="AG129" s="33">
        <f>AI128*(((1+Dashboard!$C$21)^(1/30))-1)</f>
        <v>54.502638585717726</v>
      </c>
      <c r="AH129" s="84">
        <v>0</v>
      </c>
      <c r="AI129" s="29">
        <f t="shared" si="26"/>
        <v>106550.07494771763</v>
      </c>
      <c r="AJ129" s="45">
        <f t="shared" si="35"/>
        <v>0</v>
      </c>
      <c r="AL129" s="83">
        <v>0</v>
      </c>
      <c r="AM129" s="22">
        <v>0</v>
      </c>
      <c r="AN129" s="45">
        <f t="shared" si="36"/>
        <v>0</v>
      </c>
    </row>
    <row r="130" spans="2:40" x14ac:dyDescent="0.25">
      <c r="B130" s="53">
        <f>B129*(((1+Dashboard!$C$20)^(1/30)))</f>
        <v>1058951.1868819417</v>
      </c>
      <c r="C130" s="1">
        <v>126</v>
      </c>
      <c r="D130" s="51">
        <f t="shared" si="20"/>
        <v>46299</v>
      </c>
      <c r="E130" s="7">
        <f t="shared" si="21"/>
        <v>9</v>
      </c>
      <c r="F130" s="31">
        <f>E130*Dashboard!$I$3</f>
        <v>15102</v>
      </c>
      <c r="G130" s="18">
        <f>E113*Dashboard!$I$4</f>
        <v>15750</v>
      </c>
      <c r="H130" s="48"/>
      <c r="I130" s="7">
        <f t="shared" si="22"/>
        <v>9</v>
      </c>
      <c r="J130" s="31">
        <f>I130*Dashboard!$I$3</f>
        <v>15102</v>
      </c>
      <c r="K130" s="29">
        <f>I111*Dashboard!$I$4</f>
        <v>15750</v>
      </c>
      <c r="L130" s="48"/>
      <c r="M130" s="7">
        <f t="shared" si="23"/>
        <v>12</v>
      </c>
      <c r="N130" s="31">
        <f>M130*Dashboard!$I$3</f>
        <v>20136</v>
      </c>
      <c r="O130" s="18">
        <f>M109*Dashboard!$I$4</f>
        <v>21000</v>
      </c>
      <c r="P130" s="48"/>
      <c r="Q130" s="32">
        <f t="shared" si="29"/>
        <v>30</v>
      </c>
      <c r="R130" s="31">
        <f t="shared" si="30"/>
        <v>50340</v>
      </c>
      <c r="S130" s="31">
        <f t="shared" si="31"/>
        <v>52500</v>
      </c>
      <c r="T130" s="31">
        <f t="shared" si="32"/>
        <v>2160</v>
      </c>
      <c r="U130" s="31">
        <f>U129-R130+S130+V130-Custos!D130+Z129+AF129+AL129-AB129-AH129-AM129</f>
        <v>70004.635535258523</v>
      </c>
      <c r="V130" s="31">
        <f>U129*(((1+Dashboard!$C$17)^(1/30))-1)</f>
        <v>26.078555248371401</v>
      </c>
      <c r="W130" s="29">
        <f t="shared" si="33"/>
        <v>120344.63553525852</v>
      </c>
      <c r="X130" s="45">
        <f>-R130+S130-Custos!D130</f>
        <v>656.59999999999991</v>
      </c>
      <c r="Z130" s="83">
        <v>0</v>
      </c>
      <c r="AA130" s="33">
        <f>AC129*(((1+Dashboard!$C$20)^(1/30))-1)</f>
        <v>291.08035341228907</v>
      </c>
      <c r="AB130" s="84">
        <v>0</v>
      </c>
      <c r="AC130" s="18">
        <f t="shared" si="25"/>
        <v>635370.71212916472</v>
      </c>
      <c r="AD130" s="47">
        <f t="shared" si="34"/>
        <v>0</v>
      </c>
      <c r="AF130" s="83">
        <v>0</v>
      </c>
      <c r="AG130" s="33">
        <f>AI129*(((1+Dashboard!$C$21)^(1/30))-1)</f>
        <v>54.530532117330317</v>
      </c>
      <c r="AH130" s="84">
        <v>0</v>
      </c>
      <c r="AI130" s="29">
        <f t="shared" si="26"/>
        <v>106604.60547983497</v>
      </c>
      <c r="AJ130" s="45">
        <f t="shared" si="35"/>
        <v>0</v>
      </c>
      <c r="AL130" s="83">
        <v>0</v>
      </c>
      <c r="AM130" s="22">
        <v>0</v>
      </c>
      <c r="AN130" s="45">
        <f t="shared" si="36"/>
        <v>0</v>
      </c>
    </row>
    <row r="131" spans="2:40" x14ac:dyDescent="0.25">
      <c r="B131" s="53">
        <f>B130*(((1+Dashboard!$C$20)^(1/30)))</f>
        <v>1059436.5431590152</v>
      </c>
      <c r="C131" s="1">
        <v>127</v>
      </c>
      <c r="D131" s="51">
        <f t="shared" si="20"/>
        <v>46300</v>
      </c>
      <c r="E131" s="7">
        <f t="shared" si="21"/>
        <v>9</v>
      </c>
      <c r="F131" s="31">
        <f>E131*Dashboard!$I$3</f>
        <v>15102</v>
      </c>
      <c r="G131" s="18">
        <f>E114*Dashboard!$I$4</f>
        <v>15750</v>
      </c>
      <c r="H131" s="48"/>
      <c r="I131" s="7">
        <f t="shared" si="22"/>
        <v>9</v>
      </c>
      <c r="J131" s="31">
        <f>I131*Dashboard!$I$3</f>
        <v>15102</v>
      </c>
      <c r="K131" s="29">
        <f>I112*Dashboard!$I$4</f>
        <v>15750</v>
      </c>
      <c r="L131" s="48"/>
      <c r="M131" s="7">
        <f t="shared" si="23"/>
        <v>12</v>
      </c>
      <c r="N131" s="31">
        <f>M131*Dashboard!$I$3</f>
        <v>20136</v>
      </c>
      <c r="O131" s="18">
        <f>M110*Dashboard!$I$4</f>
        <v>21000</v>
      </c>
      <c r="P131" s="48"/>
      <c r="Q131" s="32">
        <f t="shared" si="29"/>
        <v>30</v>
      </c>
      <c r="R131" s="31">
        <f t="shared" si="30"/>
        <v>50340</v>
      </c>
      <c r="S131" s="31">
        <f t="shared" si="31"/>
        <v>52500</v>
      </c>
      <c r="T131" s="31">
        <f t="shared" si="32"/>
        <v>2160</v>
      </c>
      <c r="U131" s="31">
        <f>U130-R131+S131+V131-Custos!D131+Z130+AF130+AL130-AB130-AH130-AM130</f>
        <v>70687.5709105852</v>
      </c>
      <c r="V131" s="31">
        <f>U130*(((1+Dashboard!$C$17)^(1/30))-1)</f>
        <v>26.335375326677283</v>
      </c>
      <c r="W131" s="29">
        <f t="shared" si="33"/>
        <v>121027.5709105852</v>
      </c>
      <c r="X131" s="45">
        <f>-R131+S131-Custos!D131</f>
        <v>656.59999999999991</v>
      </c>
      <c r="Z131" s="83">
        <v>0</v>
      </c>
      <c r="AA131" s="33">
        <f>AC130*(((1+Dashboard!$C$20)^(1/30))-1)</f>
        <v>291.21376624416615</v>
      </c>
      <c r="AB131" s="84">
        <v>0</v>
      </c>
      <c r="AC131" s="18">
        <f t="shared" si="25"/>
        <v>635661.92589540884</v>
      </c>
      <c r="AD131" s="47">
        <f t="shared" si="34"/>
        <v>0</v>
      </c>
      <c r="AF131" s="83">
        <v>0</v>
      </c>
      <c r="AG131" s="33">
        <f>AI130*(((1+Dashboard!$C$21)^(1/30))-1)</f>
        <v>54.558439924382149</v>
      </c>
      <c r="AH131" s="84">
        <v>0</v>
      </c>
      <c r="AI131" s="29">
        <f t="shared" si="26"/>
        <v>106659.16391975935</v>
      </c>
      <c r="AJ131" s="45">
        <f t="shared" si="35"/>
        <v>0</v>
      </c>
      <c r="AL131" s="83">
        <v>0</v>
      </c>
      <c r="AM131" s="22">
        <v>0</v>
      </c>
      <c r="AN131" s="45">
        <f t="shared" si="36"/>
        <v>0</v>
      </c>
    </row>
    <row r="132" spans="2:40" x14ac:dyDescent="0.25">
      <c r="B132" s="53">
        <f>B131*(((1+Dashboard!$C$20)^(1/30)))</f>
        <v>1059922.1218927221</v>
      </c>
      <c r="C132" s="1">
        <v>128</v>
      </c>
      <c r="D132" s="51">
        <f t="shared" si="20"/>
        <v>46301</v>
      </c>
      <c r="E132" s="7">
        <f t="shared" si="21"/>
        <v>9</v>
      </c>
      <c r="F132" s="31">
        <f>E132*Dashboard!$I$3</f>
        <v>15102</v>
      </c>
      <c r="G132" s="18">
        <f>E115*Dashboard!$I$4</f>
        <v>15750</v>
      </c>
      <c r="H132" s="48"/>
      <c r="I132" s="7">
        <f t="shared" si="22"/>
        <v>9</v>
      </c>
      <c r="J132" s="31">
        <f>I132*Dashboard!$I$3</f>
        <v>15102</v>
      </c>
      <c r="K132" s="29">
        <f>I113*Dashboard!$I$4</f>
        <v>15750</v>
      </c>
      <c r="L132" s="48"/>
      <c r="M132" s="7">
        <f t="shared" si="23"/>
        <v>12</v>
      </c>
      <c r="N132" s="31">
        <f>M132*Dashboard!$I$3</f>
        <v>20136</v>
      </c>
      <c r="O132" s="18">
        <f>M111*Dashboard!$I$4</f>
        <v>21000</v>
      </c>
      <c r="P132" s="48"/>
      <c r="Q132" s="32">
        <f t="shared" si="29"/>
        <v>30</v>
      </c>
      <c r="R132" s="31">
        <f t="shared" si="30"/>
        <v>50340</v>
      </c>
      <c r="S132" s="31">
        <f t="shared" si="31"/>
        <v>52500</v>
      </c>
      <c r="T132" s="31">
        <f t="shared" si="32"/>
        <v>2160</v>
      </c>
      <c r="U132" s="31">
        <f>U131-R132+S132+V132-Custos!D132+Z131+AF131+AL131-AB131-AH131-AM131</f>
        <v>71370.763202604547</v>
      </c>
      <c r="V132" s="31">
        <f>U131*(((1+Dashboard!$C$17)^(1/30))-1)</f>
        <v>26.592292019344509</v>
      </c>
      <c r="W132" s="29">
        <f t="shared" si="33"/>
        <v>121710.76320260455</v>
      </c>
      <c r="X132" s="45">
        <f>-R132+S132-Custos!D132</f>
        <v>656.59999999999991</v>
      </c>
      <c r="Z132" s="83">
        <v>0</v>
      </c>
      <c r="AA132" s="33">
        <f>AC131*(((1+Dashboard!$C$20)^(1/30))-1)</f>
        <v>291.34724022405089</v>
      </c>
      <c r="AB132" s="84">
        <v>0</v>
      </c>
      <c r="AC132" s="18">
        <f t="shared" si="25"/>
        <v>635953.27313563286</v>
      </c>
      <c r="AD132" s="47">
        <f t="shared" si="34"/>
        <v>0</v>
      </c>
      <c r="AF132" s="83">
        <v>0</v>
      </c>
      <c r="AG132" s="33">
        <f>AI131*(((1+Dashboard!$C$21)^(1/30))-1)</f>
        <v>54.586362014179159</v>
      </c>
      <c r="AH132" s="84">
        <v>0</v>
      </c>
      <c r="AI132" s="29">
        <f t="shared" si="26"/>
        <v>106713.75028177352</v>
      </c>
      <c r="AJ132" s="45">
        <f t="shared" si="35"/>
        <v>0</v>
      </c>
      <c r="AL132" s="83">
        <v>0</v>
      </c>
      <c r="AM132" s="22">
        <v>0</v>
      </c>
      <c r="AN132" s="45">
        <f t="shared" si="36"/>
        <v>0</v>
      </c>
    </row>
    <row r="133" spans="2:40" x14ac:dyDescent="0.25">
      <c r="B133" s="53">
        <f>B132*(((1+Dashboard!$C$20)^(1/30)))</f>
        <v>1060407.9231850221</v>
      </c>
      <c r="C133" s="1">
        <v>129</v>
      </c>
      <c r="D133" s="51">
        <f t="shared" si="20"/>
        <v>46302</v>
      </c>
      <c r="E133" s="7">
        <f t="shared" si="21"/>
        <v>9</v>
      </c>
      <c r="F133" s="31">
        <f>E133*Dashboard!$I$3</f>
        <v>15102</v>
      </c>
      <c r="G133" s="18">
        <f>E116*Dashboard!$I$4</f>
        <v>15750</v>
      </c>
      <c r="H133" s="48"/>
      <c r="I133" s="7">
        <f t="shared" si="22"/>
        <v>9</v>
      </c>
      <c r="J133" s="31">
        <f>I133*Dashboard!$I$3</f>
        <v>15102</v>
      </c>
      <c r="K133" s="29">
        <f>I114*Dashboard!$I$4</f>
        <v>15750</v>
      </c>
      <c r="L133" s="48"/>
      <c r="M133" s="7">
        <f t="shared" si="23"/>
        <v>12</v>
      </c>
      <c r="N133" s="31">
        <f>M133*Dashboard!$I$3</f>
        <v>20136</v>
      </c>
      <c r="O133" s="18">
        <f>M112*Dashboard!$I$4</f>
        <v>21000</v>
      </c>
      <c r="P133" s="48"/>
      <c r="Q133" s="32">
        <f t="shared" si="29"/>
        <v>30</v>
      </c>
      <c r="R133" s="31">
        <f t="shared" si="30"/>
        <v>50340</v>
      </c>
      <c r="S133" s="31">
        <f t="shared" si="31"/>
        <v>52500</v>
      </c>
      <c r="T133" s="31">
        <f t="shared" si="32"/>
        <v>2160</v>
      </c>
      <c r="U133" s="31">
        <f>U132-R133+S133+V133-Custos!D133+Z132+AF132+AL132-AB132-AH132-AM132</f>
        <v>72054.21250796727</v>
      </c>
      <c r="V133" s="31">
        <f>U132*(((1+Dashboard!$C$17)^(1/30))-1)</f>
        <v>26.849305362718898</v>
      </c>
      <c r="W133" s="29">
        <f t="shared" si="33"/>
        <v>122394.21250796727</v>
      </c>
      <c r="X133" s="45">
        <f>-R133+S133-Custos!D133</f>
        <v>656.59999999999991</v>
      </c>
      <c r="Z133" s="83">
        <v>0</v>
      </c>
      <c r="AA133" s="33">
        <f>AC132*(((1+Dashboard!$C$20)^(1/30))-1)</f>
        <v>291.48077537996983</v>
      </c>
      <c r="AB133" s="84">
        <v>0</v>
      </c>
      <c r="AC133" s="18">
        <f t="shared" si="25"/>
        <v>636244.75391101278</v>
      </c>
      <c r="AD133" s="47">
        <f t="shared" si="34"/>
        <v>0</v>
      </c>
      <c r="AF133" s="83">
        <v>0</v>
      </c>
      <c r="AG133" s="33">
        <f>AI132*(((1+Dashboard!$C$21)^(1/30))-1)</f>
        <v>54.614298394031003</v>
      </c>
      <c r="AH133" s="84">
        <v>0</v>
      </c>
      <c r="AI133" s="29">
        <f t="shared" si="26"/>
        <v>106768.36458016756</v>
      </c>
      <c r="AJ133" s="45">
        <f t="shared" si="35"/>
        <v>0</v>
      </c>
      <c r="AL133" s="83">
        <v>0</v>
      </c>
      <c r="AM133" s="22">
        <v>0</v>
      </c>
      <c r="AN133" s="45">
        <f t="shared" si="36"/>
        <v>0</v>
      </c>
    </row>
    <row r="134" spans="2:40" x14ac:dyDescent="0.25">
      <c r="B134" s="53">
        <f>B133*(((1+Dashboard!$C$20)^(1/30)))</f>
        <v>1060893.947137922</v>
      </c>
      <c r="C134" s="1">
        <v>130</v>
      </c>
      <c r="D134" s="51">
        <f t="shared" si="20"/>
        <v>46303</v>
      </c>
      <c r="E134" s="7">
        <f t="shared" si="21"/>
        <v>9</v>
      </c>
      <c r="F134" s="31">
        <f>E134*Dashboard!$I$3</f>
        <v>15102</v>
      </c>
      <c r="G134" s="18">
        <f>E117*Dashboard!$I$4</f>
        <v>15750</v>
      </c>
      <c r="H134" s="48"/>
      <c r="I134" s="7">
        <f t="shared" si="22"/>
        <v>9</v>
      </c>
      <c r="J134" s="31">
        <f>I134*Dashboard!$I$3</f>
        <v>15102</v>
      </c>
      <c r="K134" s="29">
        <f>I115*Dashboard!$I$4</f>
        <v>15750</v>
      </c>
      <c r="L134" s="48"/>
      <c r="M134" s="7">
        <f t="shared" si="23"/>
        <v>12</v>
      </c>
      <c r="N134" s="31">
        <f>M134*Dashboard!$I$3</f>
        <v>20136</v>
      </c>
      <c r="O134" s="18">
        <f>M113*Dashboard!$I$4</f>
        <v>21000</v>
      </c>
      <c r="P134" s="48"/>
      <c r="Q134" s="32">
        <f t="shared" si="29"/>
        <v>30</v>
      </c>
      <c r="R134" s="31">
        <f t="shared" si="30"/>
        <v>50340</v>
      </c>
      <c r="S134" s="31">
        <f t="shared" si="31"/>
        <v>52500</v>
      </c>
      <c r="T134" s="31">
        <f t="shared" si="32"/>
        <v>2160</v>
      </c>
      <c r="U134" s="31">
        <f>U133-R134+S134+V134-Custos!D134+Z133+AF133+AL133-AB133-AH133-AM133</f>
        <v>72737.918923360441</v>
      </c>
      <c r="V134" s="31">
        <f>U133*(((1+Dashboard!$C$17)^(1/30))-1)</f>
        <v>27.106415393159939</v>
      </c>
      <c r="W134" s="29">
        <f t="shared" si="33"/>
        <v>123077.91892336044</v>
      </c>
      <c r="X134" s="45">
        <f>-R134+S134-Custos!D134</f>
        <v>656.59999999999991</v>
      </c>
      <c r="Z134" s="83">
        <v>0</v>
      </c>
      <c r="AA134" s="33">
        <f>AC133*(((1+Dashboard!$C$20)^(1/30))-1)</f>
        <v>291.61437173996211</v>
      </c>
      <c r="AB134" s="84">
        <v>0</v>
      </c>
      <c r="AC134" s="18">
        <f t="shared" si="25"/>
        <v>636536.36828275269</v>
      </c>
      <c r="AD134" s="47">
        <f t="shared" si="34"/>
        <v>0</v>
      </c>
      <c r="AF134" s="83">
        <v>0</v>
      </c>
      <c r="AG134" s="33">
        <f>AI133*(((1+Dashboard!$C$21)^(1/30))-1)</f>
        <v>54.642249071251108</v>
      </c>
      <c r="AH134" s="84">
        <v>0</v>
      </c>
      <c r="AI134" s="29">
        <f t="shared" si="26"/>
        <v>106823.00682923882</v>
      </c>
      <c r="AJ134" s="45">
        <f t="shared" si="35"/>
        <v>0</v>
      </c>
      <c r="AL134" s="83">
        <v>0</v>
      </c>
      <c r="AM134" s="22">
        <v>0</v>
      </c>
      <c r="AN134" s="45">
        <f t="shared" si="36"/>
        <v>0</v>
      </c>
    </row>
    <row r="135" spans="2:40" x14ac:dyDescent="0.25">
      <c r="B135" s="53">
        <f>B134*(((1+Dashboard!$C$20)^(1/30)))</f>
        <v>1061380.1938534756</v>
      </c>
      <c r="C135" s="1">
        <v>131</v>
      </c>
      <c r="D135" s="51">
        <f t="shared" ref="D135:D198" si="37">D134+1</f>
        <v>46304</v>
      </c>
      <c r="E135" s="7">
        <f t="shared" ref="E135:E198" si="38">E134</f>
        <v>9</v>
      </c>
      <c r="F135" s="31">
        <f>E135*Dashboard!$I$3</f>
        <v>15102</v>
      </c>
      <c r="G135" s="18">
        <f>E118*Dashboard!$I$4</f>
        <v>15750</v>
      </c>
      <c r="H135" s="48"/>
      <c r="I135" s="7">
        <f t="shared" ref="I135:I198" si="39">I134</f>
        <v>9</v>
      </c>
      <c r="J135" s="31">
        <f>I135*Dashboard!$I$3</f>
        <v>15102</v>
      </c>
      <c r="K135" s="29">
        <f>I116*Dashboard!$I$4</f>
        <v>15750</v>
      </c>
      <c r="L135" s="48"/>
      <c r="M135" s="7">
        <f t="shared" ref="M135:M198" si="40">M134</f>
        <v>12</v>
      </c>
      <c r="N135" s="31">
        <f>M135*Dashboard!$I$3</f>
        <v>20136</v>
      </c>
      <c r="O135" s="18">
        <f>M114*Dashboard!$I$4</f>
        <v>21000</v>
      </c>
      <c r="P135" s="48"/>
      <c r="Q135" s="32">
        <f t="shared" si="29"/>
        <v>30</v>
      </c>
      <c r="R135" s="31">
        <f t="shared" si="30"/>
        <v>50340</v>
      </c>
      <c r="S135" s="31">
        <f t="shared" si="31"/>
        <v>52500</v>
      </c>
      <c r="T135" s="31">
        <f t="shared" si="32"/>
        <v>2160</v>
      </c>
      <c r="U135" s="31">
        <f>U134-R135+S135+V135-Custos!D135+Z134+AF134+AL134-AB134-AH134-AM134</f>
        <v>73421.882545507484</v>
      </c>
      <c r="V135" s="31">
        <f>U134*(((1+Dashboard!$C$17)^(1/30))-1)</f>
        <v>27.363622147040793</v>
      </c>
      <c r="W135" s="29">
        <f t="shared" si="33"/>
        <v>123761.88254550748</v>
      </c>
      <c r="X135" s="45">
        <f>-R135+S135-Custos!D135</f>
        <v>656.59999999999991</v>
      </c>
      <c r="Z135" s="83">
        <v>0</v>
      </c>
      <c r="AA135" s="33">
        <f>AC134*(((1+Dashboard!$C$20)^(1/30))-1)</f>
        <v>291.7480293320798</v>
      </c>
      <c r="AB135" s="84">
        <v>0</v>
      </c>
      <c r="AC135" s="18">
        <f t="shared" ref="AC135:AC198" si="41">AC134+AA135-AB134+Z135</f>
        <v>636828.11631208472</v>
      </c>
      <c r="AD135" s="47">
        <f t="shared" si="34"/>
        <v>0</v>
      </c>
      <c r="AF135" s="83">
        <v>0</v>
      </c>
      <c r="AG135" s="33">
        <f>AI134*(((1+Dashboard!$C$21)^(1/30))-1)</f>
        <v>54.67021405315662</v>
      </c>
      <c r="AH135" s="84">
        <v>0</v>
      </c>
      <c r="AI135" s="29">
        <f t="shared" ref="AI135:AI198" si="42">AI134+AG135-AH134+AF135</f>
        <v>106877.67704329197</v>
      </c>
      <c r="AJ135" s="45">
        <f t="shared" si="35"/>
        <v>0</v>
      </c>
      <c r="AL135" s="83">
        <v>0</v>
      </c>
      <c r="AM135" s="22">
        <v>0</v>
      </c>
      <c r="AN135" s="45">
        <f t="shared" si="36"/>
        <v>0</v>
      </c>
    </row>
    <row r="136" spans="2:40" x14ac:dyDescent="0.25">
      <c r="B136" s="53">
        <f>B135*(((1+Dashboard!$C$20)^(1/30)))</f>
        <v>1061866.663433783</v>
      </c>
      <c r="C136" s="1">
        <v>132</v>
      </c>
      <c r="D136" s="51">
        <f t="shared" si="37"/>
        <v>46305</v>
      </c>
      <c r="E136" s="7">
        <f t="shared" si="38"/>
        <v>9</v>
      </c>
      <c r="F136" s="31">
        <f>E136*Dashboard!$I$3</f>
        <v>15102</v>
      </c>
      <c r="G136" s="18">
        <f>E119*Dashboard!$I$4</f>
        <v>15750</v>
      </c>
      <c r="H136" s="48"/>
      <c r="I136" s="7">
        <f t="shared" si="39"/>
        <v>9</v>
      </c>
      <c r="J136" s="31">
        <f>I136*Dashboard!$I$3</f>
        <v>15102</v>
      </c>
      <c r="K136" s="29">
        <f>I117*Dashboard!$I$4</f>
        <v>15750</v>
      </c>
      <c r="L136" s="48"/>
      <c r="M136" s="7">
        <f t="shared" si="40"/>
        <v>12</v>
      </c>
      <c r="N136" s="31">
        <f>M136*Dashboard!$I$3</f>
        <v>20136</v>
      </c>
      <c r="O136" s="18">
        <f>M115*Dashboard!$I$4</f>
        <v>21000</v>
      </c>
      <c r="P136" s="48"/>
      <c r="Q136" s="32">
        <f t="shared" si="29"/>
        <v>30</v>
      </c>
      <c r="R136" s="31">
        <f t="shared" si="30"/>
        <v>50340</v>
      </c>
      <c r="S136" s="31">
        <f t="shared" si="31"/>
        <v>52500</v>
      </c>
      <c r="T136" s="31">
        <f t="shared" si="32"/>
        <v>2160</v>
      </c>
      <c r="U136" s="31">
        <f>U135-R136+S136+V136-Custos!D136+Z135+AF135+AL135-AB135-AH135-AM135</f>
        <v>74106.103471168244</v>
      </c>
      <c r="V136" s="31">
        <f>U135*(((1+Dashboard!$C$17)^(1/30))-1)</f>
        <v>27.620925660748309</v>
      </c>
      <c r="W136" s="29">
        <f t="shared" si="33"/>
        <v>124446.10347116824</v>
      </c>
      <c r="X136" s="45">
        <f>-R136+S136-Custos!D136</f>
        <v>656.59999999999991</v>
      </c>
      <c r="Z136" s="83">
        <v>0</v>
      </c>
      <c r="AA136" s="33">
        <f>AC135*(((1+Dashboard!$C$20)^(1/30))-1)</f>
        <v>291.8817481843879</v>
      </c>
      <c r="AB136" s="84">
        <v>0</v>
      </c>
      <c r="AC136" s="18">
        <f t="shared" si="41"/>
        <v>637119.99806026916</v>
      </c>
      <c r="AD136" s="47">
        <f t="shared" si="34"/>
        <v>0</v>
      </c>
      <c r="AF136" s="83">
        <v>0</v>
      </c>
      <c r="AG136" s="33">
        <f>AI135*(((1+Dashboard!$C$21)^(1/30))-1)</f>
        <v>54.698193347068418</v>
      </c>
      <c r="AH136" s="84">
        <v>0</v>
      </c>
      <c r="AI136" s="29">
        <f t="shared" si="42"/>
        <v>106932.37523663904</v>
      </c>
      <c r="AJ136" s="45">
        <f t="shared" si="35"/>
        <v>0</v>
      </c>
      <c r="AL136" s="83">
        <v>0</v>
      </c>
      <c r="AM136" s="22">
        <v>0</v>
      </c>
      <c r="AN136" s="45">
        <f t="shared" si="36"/>
        <v>0</v>
      </c>
    </row>
    <row r="137" spans="2:40" x14ac:dyDescent="0.25">
      <c r="B137" s="53">
        <f>B136*(((1+Dashboard!$C$20)^(1/30)))</f>
        <v>1062353.3559809912</v>
      </c>
      <c r="C137" s="1">
        <v>133</v>
      </c>
      <c r="D137" s="51">
        <f t="shared" si="37"/>
        <v>46306</v>
      </c>
      <c r="E137" s="7">
        <f t="shared" si="38"/>
        <v>9</v>
      </c>
      <c r="F137" s="31">
        <f>E137*Dashboard!$I$3</f>
        <v>15102</v>
      </c>
      <c r="G137" s="18">
        <f>E120*Dashboard!$I$4</f>
        <v>15750</v>
      </c>
      <c r="H137" s="48"/>
      <c r="I137" s="7">
        <f t="shared" si="39"/>
        <v>9</v>
      </c>
      <c r="J137" s="31">
        <f>I137*Dashboard!$I$3</f>
        <v>15102</v>
      </c>
      <c r="K137" s="29">
        <f>I118*Dashboard!$I$4</f>
        <v>15750</v>
      </c>
      <c r="L137" s="48"/>
      <c r="M137" s="7">
        <f t="shared" si="40"/>
        <v>12</v>
      </c>
      <c r="N137" s="31">
        <f>M137*Dashboard!$I$3</f>
        <v>20136</v>
      </c>
      <c r="O137" s="18">
        <f>M116*Dashboard!$I$4</f>
        <v>21000</v>
      </c>
      <c r="P137" s="48"/>
      <c r="Q137" s="32">
        <f t="shared" si="29"/>
        <v>30</v>
      </c>
      <c r="R137" s="31">
        <f t="shared" si="30"/>
        <v>50340</v>
      </c>
      <c r="S137" s="31">
        <f t="shared" si="31"/>
        <v>52500</v>
      </c>
      <c r="T137" s="31">
        <f t="shared" si="32"/>
        <v>2160</v>
      </c>
      <c r="U137" s="31">
        <f>U136-R137+S137+V137-Custos!D137+Z136+AF136+AL136-AB136-AH136-AM136</f>
        <v>74790.581797138933</v>
      </c>
      <c r="V137" s="31">
        <f>U136*(((1+Dashboard!$C$17)^(1/30))-1)</f>
        <v>27.878325970683029</v>
      </c>
      <c r="W137" s="29">
        <f t="shared" si="33"/>
        <v>125130.58179713893</v>
      </c>
      <c r="X137" s="45">
        <f>-R137+S137-Custos!D137</f>
        <v>656.59999999999991</v>
      </c>
      <c r="Z137" s="83">
        <v>0</v>
      </c>
      <c r="AA137" s="33">
        <f>AC136*(((1+Dashboard!$C$20)^(1/30))-1)</f>
        <v>292.01552832496424</v>
      </c>
      <c r="AB137" s="84">
        <v>0</v>
      </c>
      <c r="AC137" s="18">
        <f t="shared" si="41"/>
        <v>637412.01358859416</v>
      </c>
      <c r="AD137" s="47">
        <f t="shared" si="34"/>
        <v>0</v>
      </c>
      <c r="AF137" s="83">
        <v>0</v>
      </c>
      <c r="AG137" s="33">
        <f>AI136*(((1+Dashboard!$C$21)^(1/30))-1)</f>
        <v>54.726186960311168</v>
      </c>
      <c r="AH137" s="84">
        <v>0</v>
      </c>
      <c r="AI137" s="29">
        <f t="shared" si="42"/>
        <v>106987.10142359935</v>
      </c>
      <c r="AJ137" s="45">
        <f t="shared" si="35"/>
        <v>0</v>
      </c>
      <c r="AL137" s="83">
        <v>0</v>
      </c>
      <c r="AM137" s="22">
        <v>0</v>
      </c>
      <c r="AN137" s="45">
        <f t="shared" si="36"/>
        <v>0</v>
      </c>
    </row>
    <row r="138" spans="2:40" x14ac:dyDescent="0.25">
      <c r="B138" s="53">
        <f>B137*(((1+Dashboard!$C$20)^(1/30)))</f>
        <v>1062840.2715972944</v>
      </c>
      <c r="C138" s="1">
        <v>134</v>
      </c>
      <c r="D138" s="51">
        <f t="shared" si="37"/>
        <v>46307</v>
      </c>
      <c r="E138" s="7">
        <f t="shared" si="38"/>
        <v>9</v>
      </c>
      <c r="F138" s="31">
        <f>E138*Dashboard!$I$3</f>
        <v>15102</v>
      </c>
      <c r="G138" s="18">
        <f>E121*Dashboard!$I$4</f>
        <v>15750</v>
      </c>
      <c r="H138" s="48"/>
      <c r="I138" s="7">
        <f t="shared" si="39"/>
        <v>9</v>
      </c>
      <c r="J138" s="31">
        <f>I138*Dashboard!$I$3</f>
        <v>15102</v>
      </c>
      <c r="K138" s="29">
        <f>I119*Dashboard!$I$4</f>
        <v>15750</v>
      </c>
      <c r="L138" s="48"/>
      <c r="M138" s="7">
        <f t="shared" si="40"/>
        <v>12</v>
      </c>
      <c r="N138" s="31">
        <f>M138*Dashboard!$I$3</f>
        <v>20136</v>
      </c>
      <c r="O138" s="18">
        <f>M117*Dashboard!$I$4</f>
        <v>21000</v>
      </c>
      <c r="P138" s="48"/>
      <c r="Q138" s="32">
        <f t="shared" si="29"/>
        <v>30</v>
      </c>
      <c r="R138" s="31">
        <f t="shared" si="30"/>
        <v>50340</v>
      </c>
      <c r="S138" s="31">
        <f t="shared" si="31"/>
        <v>52500</v>
      </c>
      <c r="T138" s="31">
        <f t="shared" si="32"/>
        <v>2160</v>
      </c>
      <c r="U138" s="31">
        <f>U137-R138+S138+V138-Custos!D138+Z137+AF137+AL137-AB137-AH137-AM137</f>
        <v>75475.317620252201</v>
      </c>
      <c r="V138" s="31">
        <f>U137*(((1+Dashboard!$C$17)^(1/30))-1)</f>
        <v>28.135823113259182</v>
      </c>
      <c r="W138" s="29">
        <f t="shared" si="33"/>
        <v>125815.3176202522</v>
      </c>
      <c r="X138" s="45">
        <f>-R138+S138-Custos!D138</f>
        <v>656.59999999999991</v>
      </c>
      <c r="Z138" s="83">
        <v>0</v>
      </c>
      <c r="AA138" s="33">
        <f>AC137*(((1+Dashboard!$C$20)^(1/30))-1)</f>
        <v>292.1493697818994</v>
      </c>
      <c r="AB138" s="84">
        <v>0</v>
      </c>
      <c r="AC138" s="18">
        <f t="shared" si="41"/>
        <v>637704.16295837611</v>
      </c>
      <c r="AD138" s="47">
        <f t="shared" si="34"/>
        <v>0</v>
      </c>
      <c r="AF138" s="83">
        <v>0</v>
      </c>
      <c r="AG138" s="33">
        <f>AI137*(((1+Dashboard!$C$21)^(1/30))-1)</f>
        <v>54.75419490021325</v>
      </c>
      <c r="AH138" s="84">
        <v>0</v>
      </c>
      <c r="AI138" s="29">
        <f t="shared" si="42"/>
        <v>107041.85561849957</v>
      </c>
      <c r="AJ138" s="45">
        <f t="shared" si="35"/>
        <v>0</v>
      </c>
      <c r="AL138" s="83">
        <v>0</v>
      </c>
      <c r="AM138" s="22">
        <v>0</v>
      </c>
      <c r="AN138" s="45">
        <f t="shared" si="36"/>
        <v>0</v>
      </c>
    </row>
    <row r="139" spans="2:40" x14ac:dyDescent="0.25">
      <c r="B139" s="53">
        <f>B138*(((1+Dashboard!$C$20)^(1/30)))</f>
        <v>1063327.4103849332</v>
      </c>
      <c r="C139" s="1">
        <v>135</v>
      </c>
      <c r="D139" s="51">
        <f t="shared" si="37"/>
        <v>46308</v>
      </c>
      <c r="E139" s="7">
        <f t="shared" si="38"/>
        <v>9</v>
      </c>
      <c r="F139" s="31">
        <f>E139*Dashboard!$I$3</f>
        <v>15102</v>
      </c>
      <c r="G139" s="18">
        <f>E122*Dashboard!$I$4</f>
        <v>15750</v>
      </c>
      <c r="H139" s="48"/>
      <c r="I139" s="7">
        <f t="shared" si="39"/>
        <v>9</v>
      </c>
      <c r="J139" s="31">
        <f>I139*Dashboard!$I$3</f>
        <v>15102</v>
      </c>
      <c r="K139" s="29">
        <f>I120*Dashboard!$I$4</f>
        <v>15750</v>
      </c>
      <c r="L139" s="48"/>
      <c r="M139" s="7">
        <f t="shared" si="40"/>
        <v>12</v>
      </c>
      <c r="N139" s="31">
        <f>M139*Dashboard!$I$3</f>
        <v>20136</v>
      </c>
      <c r="O139" s="18">
        <f>M118*Dashboard!$I$4</f>
        <v>21000</v>
      </c>
      <c r="P139" s="48"/>
      <c r="Q139" s="32">
        <f t="shared" si="29"/>
        <v>30</v>
      </c>
      <c r="R139" s="31">
        <f t="shared" si="30"/>
        <v>50340</v>
      </c>
      <c r="S139" s="31">
        <f t="shared" si="31"/>
        <v>52500</v>
      </c>
      <c r="T139" s="31">
        <f t="shared" si="32"/>
        <v>2160</v>
      </c>
      <c r="U139" s="31">
        <f>U138-R139+S139+V139-Custos!D139+Z138+AF138+AL138-AB138-AH138-AM138</f>
        <v>76160.311037377105</v>
      </c>
      <c r="V139" s="31">
        <f>U138*(((1+Dashboard!$C$17)^(1/30))-1)</f>
        <v>28.393417124904694</v>
      </c>
      <c r="W139" s="29">
        <f t="shared" si="33"/>
        <v>126500.31103737711</v>
      </c>
      <c r="X139" s="45">
        <f>-R139+S139-Custos!D139</f>
        <v>656.59999999999991</v>
      </c>
      <c r="Z139" s="83">
        <v>0</v>
      </c>
      <c r="AA139" s="33">
        <f>AC138*(((1+Dashboard!$C$20)^(1/30))-1)</f>
        <v>292.28327258329699</v>
      </c>
      <c r="AB139" s="84">
        <v>0</v>
      </c>
      <c r="AC139" s="18">
        <f t="shared" si="41"/>
        <v>637996.44623095938</v>
      </c>
      <c r="AD139" s="47">
        <f t="shared" si="34"/>
        <v>0</v>
      </c>
      <c r="AF139" s="83">
        <v>0</v>
      </c>
      <c r="AG139" s="33">
        <f>AI138*(((1+Dashboard!$C$21)^(1/30))-1)</f>
        <v>54.782217174106819</v>
      </c>
      <c r="AH139" s="84">
        <v>0</v>
      </c>
      <c r="AI139" s="29">
        <f t="shared" si="42"/>
        <v>107096.63783567368</v>
      </c>
      <c r="AJ139" s="45">
        <f t="shared" si="35"/>
        <v>0</v>
      </c>
      <c r="AL139" s="83">
        <v>0</v>
      </c>
      <c r="AM139" s="22">
        <v>0</v>
      </c>
      <c r="AN139" s="45">
        <f t="shared" si="36"/>
        <v>0</v>
      </c>
    </row>
    <row r="140" spans="2:40" x14ac:dyDescent="0.25">
      <c r="B140" s="53">
        <f>B139*(((1+Dashboard!$C$20)^(1/30)))</f>
        <v>1063814.7724461954</v>
      </c>
      <c r="C140" s="1">
        <v>136</v>
      </c>
      <c r="D140" s="51">
        <f t="shared" si="37"/>
        <v>46309</v>
      </c>
      <c r="E140" s="7">
        <f t="shared" si="38"/>
        <v>9</v>
      </c>
      <c r="F140" s="31">
        <f>E140*Dashboard!$I$3</f>
        <v>15102</v>
      </c>
      <c r="G140" s="18">
        <f>E123*Dashboard!$I$4</f>
        <v>15750</v>
      </c>
      <c r="H140" s="48"/>
      <c r="I140" s="7">
        <f t="shared" si="39"/>
        <v>9</v>
      </c>
      <c r="J140" s="31">
        <f>I140*Dashboard!$I$3</f>
        <v>15102</v>
      </c>
      <c r="K140" s="29">
        <f>I121*Dashboard!$I$4</f>
        <v>15750</v>
      </c>
      <c r="L140" s="48"/>
      <c r="M140" s="7">
        <f t="shared" si="40"/>
        <v>12</v>
      </c>
      <c r="N140" s="31">
        <f>M140*Dashboard!$I$3</f>
        <v>20136</v>
      </c>
      <c r="O140" s="18">
        <f>M119*Dashboard!$I$4</f>
        <v>21000</v>
      </c>
      <c r="P140" s="48"/>
      <c r="Q140" s="32">
        <f t="shared" si="29"/>
        <v>30</v>
      </c>
      <c r="R140" s="31">
        <f t="shared" si="30"/>
        <v>50340</v>
      </c>
      <c r="S140" s="31">
        <f t="shared" si="31"/>
        <v>52500</v>
      </c>
      <c r="T140" s="31">
        <f t="shared" si="32"/>
        <v>2160</v>
      </c>
      <c r="U140" s="31">
        <f>U139-R140+S140+V140-Custos!D140+Z139+AF139+AL139-AB139-AH139-AM139</f>
        <v>76845.562145419171</v>
      </c>
      <c r="V140" s="31">
        <f>U139*(((1+Dashboard!$C$17)^(1/30))-1)</f>
        <v>28.651108042061196</v>
      </c>
      <c r="W140" s="29">
        <f t="shared" si="33"/>
        <v>127185.56214541917</v>
      </c>
      <c r="X140" s="45">
        <f>-R140+S140-Custos!D140</f>
        <v>656.59999999999991</v>
      </c>
      <c r="Z140" s="83">
        <v>0</v>
      </c>
      <c r="AA140" s="33">
        <f>AC139*(((1+Dashboard!$C$20)^(1/30))-1)</f>
        <v>292.41723675727332</v>
      </c>
      <c r="AB140" s="84">
        <v>0</v>
      </c>
      <c r="AC140" s="18">
        <f t="shared" si="41"/>
        <v>638288.86346771661</v>
      </c>
      <c r="AD140" s="47">
        <f t="shared" si="34"/>
        <v>0</v>
      </c>
      <c r="AF140" s="83">
        <v>0</v>
      </c>
      <c r="AG140" s="33">
        <f>AI139*(((1+Dashboard!$C$21)^(1/30))-1)</f>
        <v>54.81025378932776</v>
      </c>
      <c r="AH140" s="84">
        <v>0</v>
      </c>
      <c r="AI140" s="29">
        <f t="shared" si="42"/>
        <v>107151.44808946301</v>
      </c>
      <c r="AJ140" s="45">
        <f t="shared" si="35"/>
        <v>0</v>
      </c>
      <c r="AL140" s="83">
        <v>0</v>
      </c>
      <c r="AM140" s="22">
        <v>0</v>
      </c>
      <c r="AN140" s="45">
        <f t="shared" si="36"/>
        <v>0</v>
      </c>
    </row>
    <row r="141" spans="2:40" x14ac:dyDescent="0.25">
      <c r="B141" s="53">
        <f>B140*(((1+Dashboard!$C$20)^(1/30)))</f>
        <v>1064302.3578834152</v>
      </c>
      <c r="C141" s="1">
        <v>137</v>
      </c>
      <c r="D141" s="51">
        <f t="shared" si="37"/>
        <v>46310</v>
      </c>
      <c r="E141" s="7">
        <f t="shared" si="38"/>
        <v>9</v>
      </c>
      <c r="F141" s="31">
        <f>E141*Dashboard!$I$3</f>
        <v>15102</v>
      </c>
      <c r="G141" s="18">
        <f>E124*Dashboard!$I$4</f>
        <v>15750</v>
      </c>
      <c r="H141" s="48"/>
      <c r="I141" s="7">
        <f t="shared" si="39"/>
        <v>9</v>
      </c>
      <c r="J141" s="31">
        <f>I141*Dashboard!$I$3</f>
        <v>15102</v>
      </c>
      <c r="K141" s="29">
        <f>I122*Dashboard!$I$4</f>
        <v>15750</v>
      </c>
      <c r="L141" s="48"/>
      <c r="M141" s="7">
        <f t="shared" si="40"/>
        <v>12</v>
      </c>
      <c r="N141" s="31">
        <f>M141*Dashboard!$I$3</f>
        <v>20136</v>
      </c>
      <c r="O141" s="18">
        <f>M120*Dashboard!$I$4</f>
        <v>21000</v>
      </c>
      <c r="P141" s="48"/>
      <c r="Q141" s="32">
        <f t="shared" si="29"/>
        <v>30</v>
      </c>
      <c r="R141" s="31">
        <f t="shared" si="30"/>
        <v>50340</v>
      </c>
      <c r="S141" s="31">
        <f t="shared" si="31"/>
        <v>52500</v>
      </c>
      <c r="T141" s="31">
        <f t="shared" si="32"/>
        <v>2160</v>
      </c>
      <c r="U141" s="31">
        <f>U140-R141+S141+V141-Custos!D141+Z140+AF140+AL140-AB140-AH140-AM140</f>
        <v>77531.071041320363</v>
      </c>
      <c r="V141" s="31">
        <f>U140*(((1+Dashboard!$C$17)^(1/30))-1)</f>
        <v>28.908895901184042</v>
      </c>
      <c r="W141" s="29">
        <f t="shared" si="33"/>
        <v>127871.07104132036</v>
      </c>
      <c r="X141" s="45">
        <f>-R141+S141-Custos!D141</f>
        <v>656.59999999999991</v>
      </c>
      <c r="Z141" s="83">
        <v>0</v>
      </c>
      <c r="AA141" s="33">
        <f>AC140*(((1+Dashboard!$C$20)^(1/30))-1)</f>
        <v>292.55126233195779</v>
      </c>
      <c r="AB141" s="84">
        <v>0</v>
      </c>
      <c r="AC141" s="18">
        <f t="shared" si="41"/>
        <v>638581.41473004862</v>
      </c>
      <c r="AD141" s="47">
        <f t="shared" si="34"/>
        <v>0</v>
      </c>
      <c r="AF141" s="83">
        <v>0</v>
      </c>
      <c r="AG141" s="33">
        <f>AI140*(((1+Dashboard!$C$21)^(1/30))-1)</f>
        <v>54.838304753215724</v>
      </c>
      <c r="AH141" s="84">
        <v>0</v>
      </c>
      <c r="AI141" s="29">
        <f t="shared" si="42"/>
        <v>107206.28639421622</v>
      </c>
      <c r="AJ141" s="45">
        <f t="shared" si="35"/>
        <v>0</v>
      </c>
      <c r="AL141" s="83">
        <v>0</v>
      </c>
      <c r="AM141" s="22">
        <v>0</v>
      </c>
      <c r="AN141" s="45">
        <f t="shared" si="36"/>
        <v>0</v>
      </c>
    </row>
    <row r="142" spans="2:40" x14ac:dyDescent="0.25">
      <c r="B142" s="53">
        <f>B141*(((1+Dashboard!$C$20)^(1/30)))</f>
        <v>1064790.1667989744</v>
      </c>
      <c r="C142" s="1">
        <v>138</v>
      </c>
      <c r="D142" s="51">
        <f t="shared" si="37"/>
        <v>46311</v>
      </c>
      <c r="E142" s="7">
        <f t="shared" si="38"/>
        <v>9</v>
      </c>
      <c r="F142" s="31">
        <f>E142*Dashboard!$I$3</f>
        <v>15102</v>
      </c>
      <c r="G142" s="18">
        <f>E125*Dashboard!$I$4</f>
        <v>15750</v>
      </c>
      <c r="H142" s="48"/>
      <c r="I142" s="7">
        <f t="shared" si="39"/>
        <v>9</v>
      </c>
      <c r="J142" s="31">
        <f>I142*Dashboard!$I$3</f>
        <v>15102</v>
      </c>
      <c r="K142" s="29">
        <f>I123*Dashboard!$I$4</f>
        <v>15750</v>
      </c>
      <c r="L142" s="48"/>
      <c r="M142" s="7">
        <f t="shared" si="40"/>
        <v>12</v>
      </c>
      <c r="N142" s="31">
        <f>M142*Dashboard!$I$3</f>
        <v>20136</v>
      </c>
      <c r="O142" s="18">
        <f>M121*Dashboard!$I$4</f>
        <v>21000</v>
      </c>
      <c r="P142" s="48"/>
      <c r="Q142" s="32">
        <f t="shared" si="29"/>
        <v>30</v>
      </c>
      <c r="R142" s="31">
        <f t="shared" si="30"/>
        <v>50340</v>
      </c>
      <c r="S142" s="31">
        <f t="shared" si="31"/>
        <v>52500</v>
      </c>
      <c r="T142" s="31">
        <f t="shared" si="32"/>
        <v>2160</v>
      </c>
      <c r="U142" s="31">
        <f>U141-R142+S142+V142-Custos!D142+Z141+AF141+AL141-AB141-AH141-AM141</f>
        <v>78216.837822059111</v>
      </c>
      <c r="V142" s="31">
        <f>U141*(((1+Dashboard!$C$17)^(1/30))-1)</f>
        <v>29.166780738742283</v>
      </c>
      <c r="W142" s="29">
        <f t="shared" si="33"/>
        <v>128556.83782205911</v>
      </c>
      <c r="X142" s="45">
        <f>-R142+S142-Custos!D142</f>
        <v>656.59999999999991</v>
      </c>
      <c r="Z142" s="83">
        <v>0</v>
      </c>
      <c r="AA142" s="33">
        <f>AC141*(((1+Dashboard!$C$20)^(1/30))-1)</f>
        <v>292.68534933549262</v>
      </c>
      <c r="AB142" s="84">
        <v>0</v>
      </c>
      <c r="AC142" s="18">
        <f t="shared" si="41"/>
        <v>638874.10007938417</v>
      </c>
      <c r="AD142" s="47">
        <f t="shared" si="34"/>
        <v>0</v>
      </c>
      <c r="AF142" s="83">
        <v>0</v>
      </c>
      <c r="AG142" s="33">
        <f>AI141*(((1+Dashboard!$C$21)^(1/30))-1)</f>
        <v>54.866370073114112</v>
      </c>
      <c r="AH142" s="84">
        <v>0</v>
      </c>
      <c r="AI142" s="29">
        <f t="shared" si="42"/>
        <v>107261.15276428933</v>
      </c>
      <c r="AJ142" s="45">
        <f t="shared" si="35"/>
        <v>0</v>
      </c>
      <c r="AL142" s="83">
        <v>0</v>
      </c>
      <c r="AM142" s="22">
        <v>0</v>
      </c>
      <c r="AN142" s="45">
        <f t="shared" si="36"/>
        <v>0</v>
      </c>
    </row>
    <row r="143" spans="2:40" x14ac:dyDescent="0.25">
      <c r="B143" s="53">
        <f>B142*(((1+Dashboard!$C$20)^(1/30)))</f>
        <v>1065278.1992953012</v>
      </c>
      <c r="C143" s="1">
        <v>139</v>
      </c>
      <c r="D143" s="51">
        <f t="shared" si="37"/>
        <v>46312</v>
      </c>
      <c r="E143" s="7">
        <f t="shared" si="38"/>
        <v>9</v>
      </c>
      <c r="F143" s="31">
        <f>E143*Dashboard!$I$3</f>
        <v>15102</v>
      </c>
      <c r="G143" s="18">
        <f>E126*Dashboard!$I$4</f>
        <v>15750</v>
      </c>
      <c r="H143" s="48"/>
      <c r="I143" s="7">
        <f t="shared" si="39"/>
        <v>9</v>
      </c>
      <c r="J143" s="31">
        <f>I143*Dashboard!$I$3</f>
        <v>15102</v>
      </c>
      <c r="K143" s="29">
        <f>I124*Dashboard!$I$4</f>
        <v>15750</v>
      </c>
      <c r="L143" s="48"/>
      <c r="M143" s="7">
        <f t="shared" si="40"/>
        <v>12</v>
      </c>
      <c r="N143" s="31">
        <f>M143*Dashboard!$I$3</f>
        <v>20136</v>
      </c>
      <c r="O143" s="18">
        <f>M122*Dashboard!$I$4</f>
        <v>21000</v>
      </c>
      <c r="P143" s="48"/>
      <c r="Q143" s="32">
        <f t="shared" si="29"/>
        <v>30</v>
      </c>
      <c r="R143" s="31">
        <f t="shared" si="30"/>
        <v>50340</v>
      </c>
      <c r="S143" s="31">
        <f t="shared" si="31"/>
        <v>52500</v>
      </c>
      <c r="T143" s="31">
        <f t="shared" si="32"/>
        <v>2160</v>
      </c>
      <c r="U143" s="31">
        <f>U142-R143+S143+V143-Custos!D143+Z142+AF142+AL142-AB142-AH142-AM142</f>
        <v>78902.862584650342</v>
      </c>
      <c r="V143" s="31">
        <f>U142*(((1+Dashboard!$C$17)^(1/30))-1)</f>
        <v>29.424762591218695</v>
      </c>
      <c r="W143" s="29">
        <f t="shared" si="33"/>
        <v>129242.86258465034</v>
      </c>
      <c r="X143" s="45">
        <f>-R143+S143-Custos!D143</f>
        <v>656.59999999999991</v>
      </c>
      <c r="Z143" s="83">
        <v>0</v>
      </c>
      <c r="AA143" s="33">
        <f>AC142*(((1+Dashboard!$C$20)^(1/30))-1)</f>
        <v>292.81949779603286</v>
      </c>
      <c r="AB143" s="84">
        <v>0</v>
      </c>
      <c r="AC143" s="18">
        <f t="shared" si="41"/>
        <v>639166.91957718018</v>
      </c>
      <c r="AD143" s="47">
        <f t="shared" si="34"/>
        <v>0</v>
      </c>
      <c r="AF143" s="83">
        <v>0</v>
      </c>
      <c r="AG143" s="33">
        <f>AI142*(((1+Dashboard!$C$21)^(1/30))-1)</f>
        <v>54.894449756370093</v>
      </c>
      <c r="AH143" s="84">
        <v>0</v>
      </c>
      <c r="AI143" s="29">
        <f t="shared" si="42"/>
        <v>107316.0472140457</v>
      </c>
      <c r="AJ143" s="45">
        <f t="shared" si="35"/>
        <v>0</v>
      </c>
      <c r="AL143" s="83">
        <v>0</v>
      </c>
      <c r="AM143" s="22">
        <v>0</v>
      </c>
      <c r="AN143" s="45">
        <f t="shared" si="36"/>
        <v>0</v>
      </c>
    </row>
    <row r="144" spans="2:40" x14ac:dyDescent="0.25">
      <c r="B144" s="53">
        <f>B143*(((1+Dashboard!$C$20)^(1/30)))</f>
        <v>1065766.4554748707</v>
      </c>
      <c r="C144" s="1">
        <v>140</v>
      </c>
      <c r="D144" s="51">
        <f t="shared" si="37"/>
        <v>46313</v>
      </c>
      <c r="E144" s="7">
        <f t="shared" si="38"/>
        <v>9</v>
      </c>
      <c r="F144" s="31">
        <f>E144*Dashboard!$I$3</f>
        <v>15102</v>
      </c>
      <c r="G144" s="18">
        <f>E127*Dashboard!$I$4</f>
        <v>15750</v>
      </c>
      <c r="H144" s="48"/>
      <c r="I144" s="7">
        <f t="shared" si="39"/>
        <v>9</v>
      </c>
      <c r="J144" s="31">
        <f>I144*Dashboard!$I$3</f>
        <v>15102</v>
      </c>
      <c r="K144" s="29">
        <f>I125*Dashboard!$I$4</f>
        <v>15750</v>
      </c>
      <c r="L144" s="48"/>
      <c r="M144" s="7">
        <f t="shared" si="40"/>
        <v>12</v>
      </c>
      <c r="N144" s="31">
        <f>M144*Dashboard!$I$3</f>
        <v>20136</v>
      </c>
      <c r="O144" s="18">
        <f>M123*Dashboard!$I$4</f>
        <v>21000</v>
      </c>
      <c r="P144" s="48"/>
      <c r="Q144" s="32">
        <f t="shared" si="29"/>
        <v>30</v>
      </c>
      <c r="R144" s="31">
        <f t="shared" si="30"/>
        <v>50340</v>
      </c>
      <c r="S144" s="31">
        <f t="shared" si="31"/>
        <v>52500</v>
      </c>
      <c r="T144" s="31">
        <f t="shared" si="32"/>
        <v>2160</v>
      </c>
      <c r="U144" s="31">
        <f>U143-R144+S144+V144-Custos!D144+Z143+AF143+AL143-AB143-AH143-AM143</f>
        <v>79589.145426145464</v>
      </c>
      <c r="V144" s="31">
        <f>U143*(((1+Dashboard!$C$17)^(1/30))-1)</f>
        <v>29.682841495109784</v>
      </c>
      <c r="W144" s="29">
        <f t="shared" si="33"/>
        <v>129929.14542614546</v>
      </c>
      <c r="X144" s="45">
        <f>-R144+S144-Custos!D144</f>
        <v>656.59999999999991</v>
      </c>
      <c r="Z144" s="83">
        <v>0</v>
      </c>
      <c r="AA144" s="33">
        <f>AC143*(((1+Dashboard!$C$20)^(1/30))-1)</f>
        <v>292.95370774174648</v>
      </c>
      <c r="AB144" s="84">
        <v>0</v>
      </c>
      <c r="AC144" s="18">
        <f t="shared" si="41"/>
        <v>639459.87328492186</v>
      </c>
      <c r="AD144" s="47">
        <f t="shared" si="34"/>
        <v>0</v>
      </c>
      <c r="AF144" s="83">
        <v>0</v>
      </c>
      <c r="AG144" s="33">
        <f>AI143*(((1+Dashboard!$C$21)^(1/30))-1)</f>
        <v>54.922543810334588</v>
      </c>
      <c r="AH144" s="84">
        <v>0</v>
      </c>
      <c r="AI144" s="29">
        <f t="shared" si="42"/>
        <v>107370.96975785603</v>
      </c>
      <c r="AJ144" s="45">
        <f t="shared" si="35"/>
        <v>0</v>
      </c>
      <c r="AL144" s="83">
        <v>0</v>
      </c>
      <c r="AM144" s="22">
        <v>0</v>
      </c>
      <c r="AN144" s="45">
        <f t="shared" si="36"/>
        <v>0</v>
      </c>
    </row>
    <row r="145" spans="2:40" x14ac:dyDescent="0.25">
      <c r="B145" s="53">
        <f>B144*(((1+Dashboard!$C$20)^(1/30)))</f>
        <v>1066254.9354402055</v>
      </c>
      <c r="C145" s="1">
        <v>141</v>
      </c>
      <c r="D145" s="51">
        <f t="shared" si="37"/>
        <v>46314</v>
      </c>
      <c r="E145" s="7">
        <f t="shared" si="38"/>
        <v>9</v>
      </c>
      <c r="F145" s="31">
        <f>E145*Dashboard!$I$3</f>
        <v>15102</v>
      </c>
      <c r="G145" s="18">
        <f>E128*Dashboard!$I$4</f>
        <v>15750</v>
      </c>
      <c r="H145" s="48"/>
      <c r="I145" s="7">
        <f t="shared" si="39"/>
        <v>9</v>
      </c>
      <c r="J145" s="31">
        <f>I145*Dashboard!$I$3</f>
        <v>15102</v>
      </c>
      <c r="K145" s="29">
        <f>I126*Dashboard!$I$4</f>
        <v>15750</v>
      </c>
      <c r="L145" s="48"/>
      <c r="M145" s="7">
        <f t="shared" si="40"/>
        <v>12</v>
      </c>
      <c r="N145" s="31">
        <f>M145*Dashboard!$I$3</f>
        <v>20136</v>
      </c>
      <c r="O145" s="18">
        <f>M124*Dashboard!$I$4</f>
        <v>21000</v>
      </c>
      <c r="P145" s="48"/>
      <c r="Q145" s="32">
        <f t="shared" si="29"/>
        <v>30</v>
      </c>
      <c r="R145" s="31">
        <f t="shared" si="30"/>
        <v>50340</v>
      </c>
      <c r="S145" s="31">
        <f t="shared" si="31"/>
        <v>52500</v>
      </c>
      <c r="T145" s="31">
        <f t="shared" si="32"/>
        <v>2160</v>
      </c>
      <c r="U145" s="31">
        <f>U144-R145+S145+V145-Custos!D145+Z144+AF144+AL144-AB144-AH144-AM144</f>
        <v>80275.686443632396</v>
      </c>
      <c r="V145" s="31">
        <f>U144*(((1+Dashboard!$C$17)^(1/30))-1)</f>
        <v>29.94101748692578</v>
      </c>
      <c r="W145" s="29">
        <f t="shared" si="33"/>
        <v>130615.6864436324</v>
      </c>
      <c r="X145" s="45">
        <f>-R145+S145-Custos!D145</f>
        <v>656.59999999999991</v>
      </c>
      <c r="Z145" s="83">
        <v>0</v>
      </c>
      <c r="AA145" s="33">
        <f>AC144*(((1+Dashboard!$C$20)^(1/30))-1)</f>
        <v>293.08797920081452</v>
      </c>
      <c r="AB145" s="84">
        <v>0</v>
      </c>
      <c r="AC145" s="18">
        <f t="shared" si="41"/>
        <v>639752.96126412263</v>
      </c>
      <c r="AD145" s="47">
        <f t="shared" si="34"/>
        <v>0</v>
      </c>
      <c r="AF145" s="83">
        <v>0</v>
      </c>
      <c r="AG145" s="33">
        <f>AI144*(((1+Dashboard!$C$21)^(1/30))-1)</f>
        <v>54.950652242362295</v>
      </c>
      <c r="AH145" s="84">
        <v>0</v>
      </c>
      <c r="AI145" s="29">
        <f t="shared" si="42"/>
        <v>107425.92041009839</v>
      </c>
      <c r="AJ145" s="45">
        <f t="shared" si="35"/>
        <v>0</v>
      </c>
      <c r="AL145" s="83">
        <v>0</v>
      </c>
      <c r="AM145" s="22">
        <v>0</v>
      </c>
      <c r="AN145" s="45">
        <f t="shared" si="36"/>
        <v>0</v>
      </c>
    </row>
    <row r="146" spans="2:40" x14ac:dyDescent="0.25">
      <c r="B146" s="53">
        <f>B145*(((1+Dashboard!$C$20)^(1/30)))</f>
        <v>1066743.6392938746</v>
      </c>
      <c r="C146" s="1">
        <v>142</v>
      </c>
      <c r="D146" s="51">
        <f t="shared" si="37"/>
        <v>46315</v>
      </c>
      <c r="E146" s="7">
        <f t="shared" si="38"/>
        <v>9</v>
      </c>
      <c r="F146" s="31">
        <f>E146*Dashboard!$I$3</f>
        <v>15102</v>
      </c>
      <c r="G146" s="18">
        <f>E129*Dashboard!$I$4</f>
        <v>15750</v>
      </c>
      <c r="H146" s="48"/>
      <c r="I146" s="7">
        <f t="shared" si="39"/>
        <v>9</v>
      </c>
      <c r="J146" s="31">
        <f>I146*Dashboard!$I$3</f>
        <v>15102</v>
      </c>
      <c r="K146" s="29">
        <f>I127*Dashboard!$I$4</f>
        <v>15750</v>
      </c>
      <c r="L146" s="48"/>
      <c r="M146" s="7">
        <f t="shared" si="40"/>
        <v>12</v>
      </c>
      <c r="N146" s="31">
        <f>M146*Dashboard!$I$3</f>
        <v>20136</v>
      </c>
      <c r="O146" s="18">
        <f>M125*Dashboard!$I$4</f>
        <v>21000</v>
      </c>
      <c r="P146" s="48"/>
      <c r="Q146" s="32">
        <f t="shared" si="29"/>
        <v>30</v>
      </c>
      <c r="R146" s="31">
        <f t="shared" si="30"/>
        <v>50340</v>
      </c>
      <c r="S146" s="31">
        <f t="shared" si="31"/>
        <v>52500</v>
      </c>
      <c r="T146" s="31">
        <f t="shared" si="32"/>
        <v>2160</v>
      </c>
      <c r="U146" s="31">
        <f>U145-R146+S146+V146-Custos!D146+Z145+AF145+AL145-AB145-AH145-AM145</f>
        <v>80962.485734235597</v>
      </c>
      <c r="V146" s="31">
        <f>U145*(((1+Dashboard!$C$17)^(1/30))-1)</f>
        <v>30.199290603190644</v>
      </c>
      <c r="W146" s="29">
        <f t="shared" si="33"/>
        <v>131302.48573423561</v>
      </c>
      <c r="X146" s="45">
        <f>-R146+S146-Custos!D146</f>
        <v>656.59999999999991</v>
      </c>
      <c r="Z146" s="83">
        <v>0</v>
      </c>
      <c r="AA146" s="33">
        <f>AC145*(((1+Dashboard!$C$20)^(1/30))-1)</f>
        <v>293.22231220143067</v>
      </c>
      <c r="AB146" s="84">
        <v>0</v>
      </c>
      <c r="AC146" s="18">
        <f t="shared" si="41"/>
        <v>640046.18357632402</v>
      </c>
      <c r="AD146" s="47">
        <f t="shared" si="34"/>
        <v>0</v>
      </c>
      <c r="AF146" s="83">
        <v>0</v>
      </c>
      <c r="AG146" s="33">
        <f>AI145*(((1+Dashboard!$C$21)^(1/30))-1)</f>
        <v>54.978775059811653</v>
      </c>
      <c r="AH146" s="84">
        <v>0</v>
      </c>
      <c r="AI146" s="29">
        <f t="shared" si="42"/>
        <v>107480.89918515821</v>
      </c>
      <c r="AJ146" s="45">
        <f t="shared" si="35"/>
        <v>0</v>
      </c>
      <c r="AL146" s="83">
        <v>0</v>
      </c>
      <c r="AM146" s="22">
        <v>0</v>
      </c>
      <c r="AN146" s="45">
        <f t="shared" si="36"/>
        <v>0</v>
      </c>
    </row>
    <row r="147" spans="2:40" x14ac:dyDescent="0.25">
      <c r="B147" s="53">
        <f>B146*(((1+Dashboard!$C$20)^(1/30)))</f>
        <v>1067232.5671384942</v>
      </c>
      <c r="C147" s="1">
        <v>143</v>
      </c>
      <c r="D147" s="51">
        <f t="shared" si="37"/>
        <v>46316</v>
      </c>
      <c r="E147" s="7">
        <f t="shared" si="38"/>
        <v>9</v>
      </c>
      <c r="F147" s="31">
        <f>E147*Dashboard!$I$3</f>
        <v>15102</v>
      </c>
      <c r="G147" s="18">
        <f>E130*Dashboard!$I$4</f>
        <v>15750</v>
      </c>
      <c r="H147" s="48"/>
      <c r="I147" s="7">
        <f t="shared" si="39"/>
        <v>9</v>
      </c>
      <c r="J147" s="31">
        <f>I147*Dashboard!$I$3</f>
        <v>15102</v>
      </c>
      <c r="K147" s="29">
        <f>I128*Dashboard!$I$4</f>
        <v>15750</v>
      </c>
      <c r="L147" s="48"/>
      <c r="M147" s="7">
        <f t="shared" si="40"/>
        <v>12</v>
      </c>
      <c r="N147" s="31">
        <f>M147*Dashboard!$I$3</f>
        <v>20136</v>
      </c>
      <c r="O147" s="18">
        <f>M126*Dashboard!$I$4</f>
        <v>21000</v>
      </c>
      <c r="P147" s="48"/>
      <c r="Q147" s="32">
        <f t="shared" si="29"/>
        <v>30</v>
      </c>
      <c r="R147" s="31">
        <f t="shared" si="30"/>
        <v>50340</v>
      </c>
      <c r="S147" s="31">
        <f t="shared" si="31"/>
        <v>52500</v>
      </c>
      <c r="T147" s="31">
        <f t="shared" si="32"/>
        <v>2160</v>
      </c>
      <c r="U147" s="31">
        <f>U146-R147+S147+V147-Custos!D147+Z146+AF146+AL146-AB146-AH146-AM146</f>
        <v>81649.543395116052</v>
      </c>
      <c r="V147" s="31">
        <f>U146*(((1+Dashboard!$C$17)^(1/30))-1)</f>
        <v>30.457660880442088</v>
      </c>
      <c r="W147" s="29">
        <f t="shared" si="33"/>
        <v>131989.54339511605</v>
      </c>
      <c r="X147" s="45">
        <f>-R147+S147-Custos!D147</f>
        <v>656.59999999999991</v>
      </c>
      <c r="Z147" s="83">
        <v>0</v>
      </c>
      <c r="AA147" s="33">
        <f>AC146*(((1+Dashboard!$C$20)^(1/30))-1)</f>
        <v>293.35670677180178</v>
      </c>
      <c r="AB147" s="84">
        <v>0</v>
      </c>
      <c r="AC147" s="18">
        <f t="shared" si="41"/>
        <v>640339.54028309579</v>
      </c>
      <c r="AD147" s="47">
        <f t="shared" si="34"/>
        <v>0</v>
      </c>
      <c r="AF147" s="83">
        <v>0</v>
      </c>
      <c r="AG147" s="33">
        <f>AI146*(((1+Dashboard!$C$21)^(1/30))-1)</f>
        <v>55.006912270044893</v>
      </c>
      <c r="AH147" s="84">
        <v>0</v>
      </c>
      <c r="AI147" s="29">
        <f t="shared" si="42"/>
        <v>107535.90609742826</v>
      </c>
      <c r="AJ147" s="45">
        <f t="shared" si="35"/>
        <v>0</v>
      </c>
      <c r="AL147" s="83">
        <v>0</v>
      </c>
      <c r="AM147" s="22">
        <v>0</v>
      </c>
      <c r="AN147" s="45">
        <f t="shared" si="36"/>
        <v>0</v>
      </c>
    </row>
    <row r="148" spans="2:40" x14ac:dyDescent="0.25">
      <c r="B148" s="53">
        <f>B147*(((1+Dashboard!$C$20)^(1/30)))</f>
        <v>1067721.7190767277</v>
      </c>
      <c r="C148" s="1">
        <v>144</v>
      </c>
      <c r="D148" s="51">
        <f t="shared" si="37"/>
        <v>46317</v>
      </c>
      <c r="E148" s="7">
        <f t="shared" si="38"/>
        <v>9</v>
      </c>
      <c r="F148" s="31">
        <f>E148*Dashboard!$I$3</f>
        <v>15102</v>
      </c>
      <c r="G148" s="18">
        <f>E131*Dashboard!$I$4</f>
        <v>15750</v>
      </c>
      <c r="H148" s="48"/>
      <c r="I148" s="7">
        <f t="shared" si="39"/>
        <v>9</v>
      </c>
      <c r="J148" s="31">
        <f>I148*Dashboard!$I$3</f>
        <v>15102</v>
      </c>
      <c r="K148" s="29">
        <f>I129*Dashboard!$I$4</f>
        <v>15750</v>
      </c>
      <c r="L148" s="48"/>
      <c r="M148" s="7">
        <f t="shared" si="40"/>
        <v>12</v>
      </c>
      <c r="N148" s="31">
        <f>M148*Dashboard!$I$3</f>
        <v>20136</v>
      </c>
      <c r="O148" s="18">
        <f>M127*Dashboard!$I$4</f>
        <v>21000</v>
      </c>
      <c r="P148" s="48"/>
      <c r="Q148" s="32">
        <f t="shared" si="29"/>
        <v>30</v>
      </c>
      <c r="R148" s="31">
        <f t="shared" si="30"/>
        <v>50340</v>
      </c>
      <c r="S148" s="31">
        <f t="shared" si="31"/>
        <v>52500</v>
      </c>
      <c r="T148" s="31">
        <f t="shared" si="32"/>
        <v>2160</v>
      </c>
      <c r="U148" s="31">
        <f>U147-R148+S148+V148-Custos!D148+Z147+AF147+AL147-AB147-AH147-AM147</f>
        <v>82336.859523471285</v>
      </c>
      <c r="V148" s="31">
        <f>U147*(((1+Dashboard!$C$17)^(1/30))-1)</f>
        <v>30.716128355231561</v>
      </c>
      <c r="W148" s="29">
        <f t="shared" si="33"/>
        <v>132676.85952347127</v>
      </c>
      <c r="X148" s="45">
        <f>-R148+S148-Custos!D148</f>
        <v>656.59999999999991</v>
      </c>
      <c r="Z148" s="83">
        <v>0</v>
      </c>
      <c r="AA148" s="33">
        <f>AC147*(((1+Dashboard!$C$20)^(1/30))-1)</f>
        <v>293.49116294014755</v>
      </c>
      <c r="AB148" s="84">
        <v>0</v>
      </c>
      <c r="AC148" s="18">
        <f t="shared" si="41"/>
        <v>640633.03144603595</v>
      </c>
      <c r="AD148" s="47">
        <f t="shared" si="34"/>
        <v>0</v>
      </c>
      <c r="AF148" s="83">
        <v>0</v>
      </c>
      <c r="AG148" s="33">
        <f>AI147*(((1+Dashboard!$C$21)^(1/30))-1)</f>
        <v>55.035063880427984</v>
      </c>
      <c r="AH148" s="84">
        <v>0</v>
      </c>
      <c r="AI148" s="29">
        <f t="shared" si="42"/>
        <v>107590.94116130868</v>
      </c>
      <c r="AJ148" s="45">
        <f t="shared" si="35"/>
        <v>0</v>
      </c>
      <c r="AL148" s="83">
        <v>0</v>
      </c>
      <c r="AM148" s="22">
        <v>0</v>
      </c>
      <c r="AN148" s="45">
        <f t="shared" si="36"/>
        <v>0</v>
      </c>
    </row>
    <row r="149" spans="2:40" x14ac:dyDescent="0.25">
      <c r="B149" s="53">
        <f>B148*(((1+Dashboard!$C$20)^(1/30)))</f>
        <v>1068211.0952112856</v>
      </c>
      <c r="C149" s="1">
        <v>145</v>
      </c>
      <c r="D149" s="51">
        <f t="shared" si="37"/>
        <v>46318</v>
      </c>
      <c r="E149" s="7">
        <f t="shared" si="38"/>
        <v>9</v>
      </c>
      <c r="F149" s="31">
        <f>E149*Dashboard!$I$3</f>
        <v>15102</v>
      </c>
      <c r="G149" s="18">
        <f>E132*Dashboard!$I$4</f>
        <v>15750</v>
      </c>
      <c r="H149" s="48"/>
      <c r="I149" s="7">
        <f t="shared" si="39"/>
        <v>9</v>
      </c>
      <c r="J149" s="31">
        <f>I149*Dashboard!$I$3</f>
        <v>15102</v>
      </c>
      <c r="K149" s="29">
        <f>I130*Dashboard!$I$4</f>
        <v>15750</v>
      </c>
      <c r="L149" s="48"/>
      <c r="M149" s="7">
        <f t="shared" si="40"/>
        <v>12</v>
      </c>
      <c r="N149" s="31">
        <f>M149*Dashboard!$I$3</f>
        <v>20136</v>
      </c>
      <c r="O149" s="18">
        <f>M128*Dashboard!$I$4</f>
        <v>21000</v>
      </c>
      <c r="P149" s="48"/>
      <c r="Q149" s="32">
        <f t="shared" si="29"/>
        <v>30</v>
      </c>
      <c r="R149" s="31">
        <f t="shared" si="30"/>
        <v>50340</v>
      </c>
      <c r="S149" s="31">
        <f t="shared" si="31"/>
        <v>52500</v>
      </c>
      <c r="T149" s="31">
        <f t="shared" si="32"/>
        <v>2160</v>
      </c>
      <c r="U149" s="31">
        <f>U148-R149+S149+V149-Custos!D149+Z148+AF148+AL148-AB148-AH148-AM148</f>
        <v>83024.434216535417</v>
      </c>
      <c r="V149" s="31">
        <f>U148*(((1+Dashboard!$C$17)^(1/30))-1)</f>
        <v>30.974693064124263</v>
      </c>
      <c r="W149" s="29">
        <f t="shared" si="33"/>
        <v>133364.43421653542</v>
      </c>
      <c r="X149" s="45">
        <f>-R149+S149-Custos!D149</f>
        <v>656.59999999999991</v>
      </c>
      <c r="Z149" s="83">
        <v>0</v>
      </c>
      <c r="AA149" s="33">
        <f>AC148*(((1+Dashboard!$C$20)^(1/30))-1)</f>
        <v>293.62568073470055</v>
      </c>
      <c r="AB149" s="84">
        <v>0</v>
      </c>
      <c r="AC149" s="18">
        <f t="shared" si="41"/>
        <v>640926.6571267707</v>
      </c>
      <c r="AD149" s="47">
        <f t="shared" si="34"/>
        <v>0</v>
      </c>
      <c r="AF149" s="83">
        <v>0</v>
      </c>
      <c r="AG149" s="33">
        <f>AI148*(((1+Dashboard!$C$21)^(1/30))-1)</f>
        <v>55.063229898330675</v>
      </c>
      <c r="AH149" s="84">
        <v>0</v>
      </c>
      <c r="AI149" s="29">
        <f t="shared" si="42"/>
        <v>107646.00439120701</v>
      </c>
      <c r="AJ149" s="45">
        <f t="shared" si="35"/>
        <v>0</v>
      </c>
      <c r="AL149" s="83">
        <v>0</v>
      </c>
      <c r="AM149" s="22">
        <v>0</v>
      </c>
      <c r="AN149" s="45">
        <f t="shared" si="36"/>
        <v>0</v>
      </c>
    </row>
    <row r="150" spans="2:40" x14ac:dyDescent="0.25">
      <c r="B150" s="53">
        <f>B149*(((1+Dashboard!$C$20)^(1/30)))</f>
        <v>1068700.6956449251</v>
      </c>
      <c r="C150" s="1">
        <v>146</v>
      </c>
      <c r="D150" s="51">
        <f t="shared" si="37"/>
        <v>46319</v>
      </c>
      <c r="E150" s="7">
        <f t="shared" si="38"/>
        <v>9</v>
      </c>
      <c r="F150" s="31">
        <f>E150*Dashboard!$I$3</f>
        <v>15102</v>
      </c>
      <c r="G150" s="18">
        <f>E133*Dashboard!$I$4</f>
        <v>15750</v>
      </c>
      <c r="H150" s="48"/>
      <c r="I150" s="7">
        <f t="shared" si="39"/>
        <v>9</v>
      </c>
      <c r="J150" s="31">
        <f>I150*Dashboard!$I$3</f>
        <v>15102</v>
      </c>
      <c r="K150" s="29">
        <f>I131*Dashboard!$I$4</f>
        <v>15750</v>
      </c>
      <c r="L150" s="48"/>
      <c r="M150" s="7">
        <f t="shared" si="40"/>
        <v>12</v>
      </c>
      <c r="N150" s="31">
        <f>M150*Dashboard!$I$3</f>
        <v>20136</v>
      </c>
      <c r="O150" s="18">
        <f>M129*Dashboard!$I$4</f>
        <v>21000</v>
      </c>
      <c r="P150" s="48"/>
      <c r="Q150" s="32">
        <f t="shared" si="29"/>
        <v>30</v>
      </c>
      <c r="R150" s="31">
        <f t="shared" si="30"/>
        <v>50340</v>
      </c>
      <c r="S150" s="31">
        <f t="shared" si="31"/>
        <v>52500</v>
      </c>
      <c r="T150" s="31">
        <f t="shared" si="32"/>
        <v>2160</v>
      </c>
      <c r="U150" s="31">
        <f>U149-R150+S150+V150-Custos!D150+Z149+AF149+AL149-AB149-AH149-AM149</f>
        <v>83712.267571579127</v>
      </c>
      <c r="V150" s="31">
        <f>U149*(((1+Dashboard!$C$17)^(1/30))-1)</f>
        <v>31.233355043699156</v>
      </c>
      <c r="W150" s="29">
        <f t="shared" si="33"/>
        <v>134052.26757157914</v>
      </c>
      <c r="X150" s="45">
        <f>-R150+S150-Custos!D150</f>
        <v>656.59999999999991</v>
      </c>
      <c r="Z150" s="83">
        <v>0</v>
      </c>
      <c r="AA150" s="33">
        <f>AC149*(((1+Dashboard!$C$20)^(1/30))-1)</f>
        <v>293.76026018370635</v>
      </c>
      <c r="AB150" s="84">
        <v>0</v>
      </c>
      <c r="AC150" s="18">
        <f t="shared" si="41"/>
        <v>641220.41738695442</v>
      </c>
      <c r="AD150" s="47">
        <f t="shared" si="34"/>
        <v>0</v>
      </c>
      <c r="AF150" s="83">
        <v>0</v>
      </c>
      <c r="AG150" s="33">
        <f>AI149*(((1+Dashboard!$C$21)^(1/30))-1)</f>
        <v>55.091410331126504</v>
      </c>
      <c r="AH150" s="84">
        <v>0</v>
      </c>
      <c r="AI150" s="29">
        <f t="shared" si="42"/>
        <v>107701.09580153813</v>
      </c>
      <c r="AJ150" s="45">
        <f t="shared" si="35"/>
        <v>0</v>
      </c>
      <c r="AL150" s="83">
        <v>0</v>
      </c>
      <c r="AM150" s="22">
        <v>0</v>
      </c>
      <c r="AN150" s="45">
        <f t="shared" si="36"/>
        <v>0</v>
      </c>
    </row>
    <row r="151" spans="2:40" x14ac:dyDescent="0.25">
      <c r="B151" s="53">
        <f>B150*(((1+Dashboard!$C$20)^(1/30)))</f>
        <v>1069190.5204804507</v>
      </c>
      <c r="C151" s="1">
        <v>147</v>
      </c>
      <c r="D151" s="51">
        <f t="shared" si="37"/>
        <v>46320</v>
      </c>
      <c r="E151" s="7">
        <f t="shared" si="38"/>
        <v>9</v>
      </c>
      <c r="F151" s="31">
        <f>E151*Dashboard!$I$3</f>
        <v>15102</v>
      </c>
      <c r="G151" s="18">
        <f>E134*Dashboard!$I$4</f>
        <v>15750</v>
      </c>
      <c r="H151" s="48"/>
      <c r="I151" s="7">
        <f t="shared" si="39"/>
        <v>9</v>
      </c>
      <c r="J151" s="31">
        <f>I151*Dashboard!$I$3</f>
        <v>15102</v>
      </c>
      <c r="K151" s="29">
        <f>I132*Dashboard!$I$4</f>
        <v>15750</v>
      </c>
      <c r="L151" s="48"/>
      <c r="M151" s="7">
        <f t="shared" si="40"/>
        <v>12</v>
      </c>
      <c r="N151" s="31">
        <f>M151*Dashboard!$I$3</f>
        <v>20136</v>
      </c>
      <c r="O151" s="18">
        <f>M130*Dashboard!$I$4</f>
        <v>21000</v>
      </c>
      <c r="P151" s="48"/>
      <c r="Q151" s="32">
        <f t="shared" si="29"/>
        <v>30</v>
      </c>
      <c r="R151" s="31">
        <f t="shared" si="30"/>
        <v>50340</v>
      </c>
      <c r="S151" s="31">
        <f t="shared" si="31"/>
        <v>52500</v>
      </c>
      <c r="T151" s="31">
        <f t="shared" si="32"/>
        <v>2160</v>
      </c>
      <c r="U151" s="31">
        <f>U150-R151+S151+V151-Custos!D151+Z150+AF150+AL150-AB150-AH150-AM150</f>
        <v>84400.359685909687</v>
      </c>
      <c r="V151" s="31">
        <f>U150*(((1+Dashboard!$C$17)^(1/30))-1)</f>
        <v>31.492114330548958</v>
      </c>
      <c r="W151" s="29">
        <f t="shared" si="33"/>
        <v>134740.3596859097</v>
      </c>
      <c r="X151" s="45">
        <f>-R151+S151-Custos!D151</f>
        <v>656.59999999999991</v>
      </c>
      <c r="Z151" s="83">
        <v>0</v>
      </c>
      <c r="AA151" s="33">
        <f>AC150*(((1+Dashboard!$C$20)^(1/30))-1)</f>
        <v>293.89490131542345</v>
      </c>
      <c r="AB151" s="84">
        <v>0</v>
      </c>
      <c r="AC151" s="18">
        <f t="shared" si="41"/>
        <v>641514.31228826987</v>
      </c>
      <c r="AD151" s="47">
        <f t="shared" si="34"/>
        <v>0</v>
      </c>
      <c r="AF151" s="83">
        <v>0</v>
      </c>
      <c r="AG151" s="33">
        <f>AI150*(((1+Dashboard!$C$21)^(1/30))-1)</f>
        <v>55.119605186192764</v>
      </c>
      <c r="AH151" s="84">
        <v>0</v>
      </c>
      <c r="AI151" s="29">
        <f t="shared" si="42"/>
        <v>107756.21540672432</v>
      </c>
      <c r="AJ151" s="45">
        <f t="shared" si="35"/>
        <v>0</v>
      </c>
      <c r="AL151" s="83">
        <v>0</v>
      </c>
      <c r="AM151" s="22">
        <v>0</v>
      </c>
      <c r="AN151" s="45">
        <f t="shared" si="36"/>
        <v>0</v>
      </c>
    </row>
    <row r="152" spans="2:40" x14ac:dyDescent="0.25">
      <c r="B152" s="53">
        <f>B151*(((1+Dashboard!$C$20)^(1/30)))</f>
        <v>1069680.5698207142</v>
      </c>
      <c r="C152" s="1">
        <v>148</v>
      </c>
      <c r="D152" s="51">
        <f t="shared" si="37"/>
        <v>46321</v>
      </c>
      <c r="E152" s="7">
        <f t="shared" si="38"/>
        <v>9</v>
      </c>
      <c r="F152" s="31">
        <f>E152*Dashboard!$I$3</f>
        <v>15102</v>
      </c>
      <c r="G152" s="18">
        <f>E135*Dashboard!$I$4</f>
        <v>15750</v>
      </c>
      <c r="H152" s="48"/>
      <c r="I152" s="7">
        <f t="shared" si="39"/>
        <v>9</v>
      </c>
      <c r="J152" s="31">
        <f>I152*Dashboard!$I$3</f>
        <v>15102</v>
      </c>
      <c r="K152" s="29">
        <f>I133*Dashboard!$I$4</f>
        <v>15750</v>
      </c>
      <c r="L152" s="48"/>
      <c r="M152" s="7">
        <f t="shared" si="40"/>
        <v>12</v>
      </c>
      <c r="N152" s="31">
        <f>M152*Dashboard!$I$3</f>
        <v>20136</v>
      </c>
      <c r="O152" s="18">
        <f>M131*Dashboard!$I$4</f>
        <v>21000</v>
      </c>
      <c r="P152" s="48"/>
      <c r="Q152" s="32">
        <f t="shared" si="29"/>
        <v>30</v>
      </c>
      <c r="R152" s="31">
        <f t="shared" si="30"/>
        <v>50340</v>
      </c>
      <c r="S152" s="31">
        <f t="shared" si="31"/>
        <v>52500</v>
      </c>
      <c r="T152" s="31">
        <f t="shared" si="32"/>
        <v>2160</v>
      </c>
      <c r="U152" s="31">
        <f>U151-R152+S152+V152-Custos!D152+Z151+AF151+AL151-AB151-AH151-AM151</f>
        <v>85088.710656870971</v>
      </c>
      <c r="V152" s="31">
        <f>U151*(((1+Dashboard!$C$17)^(1/30))-1)</f>
        <v>31.750970961280149</v>
      </c>
      <c r="W152" s="29">
        <f t="shared" si="33"/>
        <v>135428.71065687097</v>
      </c>
      <c r="X152" s="45">
        <f>-R152+S152-Custos!D152</f>
        <v>656.59999999999991</v>
      </c>
      <c r="Z152" s="83">
        <v>0</v>
      </c>
      <c r="AA152" s="33">
        <f>AC151*(((1+Dashboard!$C$20)^(1/30))-1)</f>
        <v>294.02960415812328</v>
      </c>
      <c r="AB152" s="84">
        <v>0</v>
      </c>
      <c r="AC152" s="18">
        <f t="shared" si="41"/>
        <v>641808.341892428</v>
      </c>
      <c r="AD152" s="47">
        <f t="shared" si="34"/>
        <v>0</v>
      </c>
      <c r="AF152" s="83">
        <v>0</v>
      </c>
      <c r="AG152" s="33">
        <f>AI151*(((1+Dashboard!$C$21)^(1/30))-1)</f>
        <v>55.147814470910539</v>
      </c>
      <c r="AH152" s="84">
        <v>0</v>
      </c>
      <c r="AI152" s="29">
        <f t="shared" si="42"/>
        <v>107811.36322119524</v>
      </c>
      <c r="AJ152" s="45">
        <f t="shared" si="35"/>
        <v>0</v>
      </c>
      <c r="AL152" s="83">
        <v>0</v>
      </c>
      <c r="AM152" s="22">
        <v>0</v>
      </c>
      <c r="AN152" s="45">
        <f t="shared" si="36"/>
        <v>0</v>
      </c>
    </row>
    <row r="153" spans="2:40" x14ac:dyDescent="0.25">
      <c r="B153" s="53">
        <f>B152*(((1+Dashboard!$C$20)^(1/30)))</f>
        <v>1070170.8437686143</v>
      </c>
      <c r="C153" s="1">
        <v>149</v>
      </c>
      <c r="D153" s="51">
        <f t="shared" si="37"/>
        <v>46322</v>
      </c>
      <c r="E153" s="7">
        <f t="shared" si="38"/>
        <v>9</v>
      </c>
      <c r="F153" s="31">
        <f>E153*Dashboard!$I$3</f>
        <v>15102</v>
      </c>
      <c r="G153" s="18">
        <f>E136*Dashboard!$I$4</f>
        <v>15750</v>
      </c>
      <c r="H153" s="48"/>
      <c r="I153" s="7">
        <f t="shared" si="39"/>
        <v>9</v>
      </c>
      <c r="J153" s="31">
        <f>I153*Dashboard!$I$3</f>
        <v>15102</v>
      </c>
      <c r="K153" s="29">
        <f>I134*Dashboard!$I$4</f>
        <v>15750</v>
      </c>
      <c r="L153" s="48"/>
      <c r="M153" s="7">
        <f t="shared" si="40"/>
        <v>12</v>
      </c>
      <c r="N153" s="31">
        <f>M153*Dashboard!$I$3</f>
        <v>20136</v>
      </c>
      <c r="O153" s="18">
        <f>M132*Dashboard!$I$4</f>
        <v>21000</v>
      </c>
      <c r="P153" s="48"/>
      <c r="Q153" s="32">
        <f t="shared" si="29"/>
        <v>30</v>
      </c>
      <c r="R153" s="31">
        <f t="shared" si="30"/>
        <v>50340</v>
      </c>
      <c r="S153" s="31">
        <f t="shared" si="31"/>
        <v>52500</v>
      </c>
      <c r="T153" s="31">
        <f t="shared" si="32"/>
        <v>2160</v>
      </c>
      <c r="U153" s="31">
        <f>U152-R153+S153+V153-Custos!D153+Z152+AF152+AL152-AB152-AH152-AM152</f>
        <v>85777.320581843494</v>
      </c>
      <c r="V153" s="31">
        <f>U152*(((1+Dashboard!$C$17)^(1/30))-1)</f>
        <v>32.009924972512991</v>
      </c>
      <c r="W153" s="29">
        <f t="shared" si="33"/>
        <v>136117.32058184349</v>
      </c>
      <c r="X153" s="45">
        <f>-R153+S153-Custos!D153</f>
        <v>656.59999999999991</v>
      </c>
      <c r="Z153" s="83">
        <v>0</v>
      </c>
      <c r="AA153" s="33">
        <f>AC152*(((1+Dashboard!$C$20)^(1/30))-1)</f>
        <v>294.16436874009031</v>
      </c>
      <c r="AB153" s="84">
        <v>0</v>
      </c>
      <c r="AC153" s="18">
        <f t="shared" si="41"/>
        <v>642102.50626116805</v>
      </c>
      <c r="AD153" s="47">
        <f t="shared" si="34"/>
        <v>0</v>
      </c>
      <c r="AF153" s="83">
        <v>0</v>
      </c>
      <c r="AG153" s="33">
        <f>AI152*(((1+Dashboard!$C$21)^(1/30))-1)</f>
        <v>55.17603819266467</v>
      </c>
      <c r="AH153" s="84">
        <v>0</v>
      </c>
      <c r="AI153" s="29">
        <f t="shared" si="42"/>
        <v>107866.53925938789</v>
      </c>
      <c r="AJ153" s="45">
        <f t="shared" si="35"/>
        <v>0</v>
      </c>
      <c r="AL153" s="83">
        <v>0</v>
      </c>
      <c r="AM153" s="22">
        <v>0</v>
      </c>
      <c r="AN153" s="45">
        <f t="shared" si="36"/>
        <v>0</v>
      </c>
    </row>
    <row r="154" spans="2:40" x14ac:dyDescent="0.25">
      <c r="B154" s="53">
        <f>B153*(((1+Dashboard!$C$20)^(1/30)))</f>
        <v>1070661.342427097</v>
      </c>
      <c r="C154" s="1">
        <v>150</v>
      </c>
      <c r="D154" s="51">
        <f t="shared" si="37"/>
        <v>46323</v>
      </c>
      <c r="E154" s="7">
        <f t="shared" si="38"/>
        <v>9</v>
      </c>
      <c r="F154" s="31">
        <f>E154*Dashboard!$I$3</f>
        <v>15102</v>
      </c>
      <c r="G154" s="18">
        <f>E137*Dashboard!$I$4</f>
        <v>15750</v>
      </c>
      <c r="H154" s="48"/>
      <c r="I154" s="7">
        <f t="shared" si="39"/>
        <v>9</v>
      </c>
      <c r="J154" s="31">
        <f>I154*Dashboard!$I$3</f>
        <v>15102</v>
      </c>
      <c r="K154" s="29">
        <f>I135*Dashboard!$I$4</f>
        <v>15750</v>
      </c>
      <c r="L154" s="48"/>
      <c r="M154" s="7">
        <f t="shared" si="40"/>
        <v>12</v>
      </c>
      <c r="N154" s="31">
        <f>M154*Dashboard!$I$3</f>
        <v>20136</v>
      </c>
      <c r="O154" s="18">
        <f>M133*Dashboard!$I$4</f>
        <v>21000</v>
      </c>
      <c r="P154" s="48"/>
      <c r="Q154" s="32">
        <f t="shared" si="29"/>
        <v>30</v>
      </c>
      <c r="R154" s="31">
        <f t="shared" si="30"/>
        <v>50340</v>
      </c>
      <c r="S154" s="31">
        <f t="shared" si="31"/>
        <v>52500</v>
      </c>
      <c r="T154" s="31">
        <f t="shared" si="32"/>
        <v>2160</v>
      </c>
      <c r="U154" s="31">
        <f>U153-R154+S154+V154-Custos!D154+Z153+AF153+AL153-AB153-AH153-AM153</f>
        <v>86466.189558244383</v>
      </c>
      <c r="V154" s="31">
        <f>U153*(((1+Dashboard!$C$17)^(1/30))-1)</f>
        <v>32.268976400881513</v>
      </c>
      <c r="W154" s="29">
        <f t="shared" si="33"/>
        <v>136806.18955824437</v>
      </c>
      <c r="X154" s="45">
        <f>-R154+S154-Custos!D154</f>
        <v>656.59999999999991</v>
      </c>
      <c r="Z154" s="83">
        <v>0</v>
      </c>
      <c r="AA154" s="33">
        <f>AC153*(((1+Dashboard!$C$20)^(1/30))-1)</f>
        <v>294.29919508962183</v>
      </c>
      <c r="AB154" s="84">
        <v>0</v>
      </c>
      <c r="AC154" s="18">
        <f t="shared" si="41"/>
        <v>642396.80545625766</v>
      </c>
      <c r="AD154" s="47">
        <f t="shared" si="34"/>
        <v>0</v>
      </c>
      <c r="AF154" s="83">
        <v>0</v>
      </c>
      <c r="AG154" s="33">
        <f>AI153*(((1+Dashboard!$C$21)^(1/30))-1)</f>
        <v>55.204276358843799</v>
      </c>
      <c r="AH154" s="84">
        <v>0</v>
      </c>
      <c r="AI154" s="29">
        <f t="shared" si="42"/>
        <v>107921.74353574673</v>
      </c>
      <c r="AJ154" s="45">
        <f t="shared" si="35"/>
        <v>0</v>
      </c>
      <c r="AL154" s="83">
        <v>0</v>
      </c>
      <c r="AM154" s="22">
        <v>0</v>
      </c>
      <c r="AN154" s="45">
        <f t="shared" si="36"/>
        <v>0</v>
      </c>
    </row>
    <row r="155" spans="2:40" x14ac:dyDescent="0.25">
      <c r="B155" s="53">
        <f>B154*(((1+Dashboard!$C$20)^(1/30)))</f>
        <v>1071152.0658991553</v>
      </c>
      <c r="C155" s="1">
        <v>151</v>
      </c>
      <c r="D155" s="51">
        <f t="shared" si="37"/>
        <v>46324</v>
      </c>
      <c r="E155" s="7">
        <f t="shared" si="38"/>
        <v>9</v>
      </c>
      <c r="F155" s="31">
        <f>E155*Dashboard!$I$3</f>
        <v>15102</v>
      </c>
      <c r="G155" s="18">
        <f>E138*Dashboard!$I$4</f>
        <v>15750</v>
      </c>
      <c r="H155" s="48"/>
      <c r="I155" s="7">
        <f t="shared" si="39"/>
        <v>9</v>
      </c>
      <c r="J155" s="31">
        <f>I155*Dashboard!$I$3</f>
        <v>15102</v>
      </c>
      <c r="K155" s="29">
        <f>I136*Dashboard!$I$4</f>
        <v>15750</v>
      </c>
      <c r="L155" s="48"/>
      <c r="M155" s="7">
        <f t="shared" si="40"/>
        <v>12</v>
      </c>
      <c r="N155" s="31">
        <f>M155*Dashboard!$I$3</f>
        <v>20136</v>
      </c>
      <c r="O155" s="18">
        <f>M134*Dashboard!$I$4</f>
        <v>21000</v>
      </c>
      <c r="P155" s="48"/>
      <c r="Q155" s="32">
        <f t="shared" si="29"/>
        <v>30</v>
      </c>
      <c r="R155" s="31">
        <f t="shared" si="30"/>
        <v>50340</v>
      </c>
      <c r="S155" s="31">
        <f t="shared" si="31"/>
        <v>52500</v>
      </c>
      <c r="T155" s="31">
        <f t="shared" si="32"/>
        <v>2160</v>
      </c>
      <c r="U155" s="31">
        <f>U154-R155+S155+V155-Custos!D155+Z154+AF154+AL154-AB154-AH154-AM154</f>
        <v>87155.317683527421</v>
      </c>
      <c r="V155" s="31">
        <f>U154*(((1+Dashboard!$C$17)^(1/30))-1)</f>
        <v>32.528125283033525</v>
      </c>
      <c r="W155" s="29">
        <f t="shared" si="33"/>
        <v>137495.31768352742</v>
      </c>
      <c r="X155" s="45">
        <f>-R155+S155-Custos!D155</f>
        <v>656.59999999999991</v>
      </c>
      <c r="Z155" s="83">
        <v>0</v>
      </c>
      <c r="AA155" s="33">
        <f>AC154*(((1+Dashboard!$C$20)^(1/30))-1)</f>
        <v>294.43408323502825</v>
      </c>
      <c r="AB155" s="84">
        <v>0</v>
      </c>
      <c r="AC155" s="18">
        <f t="shared" si="41"/>
        <v>642691.23953949264</v>
      </c>
      <c r="AD155" s="47">
        <f t="shared" si="34"/>
        <v>0</v>
      </c>
      <c r="AF155" s="83">
        <v>0</v>
      </c>
      <c r="AG155" s="33">
        <f>AI154*(((1+Dashboard!$C$21)^(1/30))-1)</f>
        <v>55.232528976840328</v>
      </c>
      <c r="AH155" s="84">
        <v>0</v>
      </c>
      <c r="AI155" s="29">
        <f t="shared" si="42"/>
        <v>107976.97606472357</v>
      </c>
      <c r="AJ155" s="45">
        <f t="shared" si="35"/>
        <v>0</v>
      </c>
      <c r="AL155" s="83">
        <v>0</v>
      </c>
      <c r="AM155" s="22">
        <v>0</v>
      </c>
      <c r="AN155" s="45">
        <f t="shared" si="36"/>
        <v>0</v>
      </c>
    </row>
    <row r="156" spans="2:40" x14ac:dyDescent="0.25">
      <c r="B156" s="53">
        <f>B155*(((1+Dashboard!$C$20)^(1/30)))</f>
        <v>1071643.0142878296</v>
      </c>
      <c r="C156" s="1">
        <v>152</v>
      </c>
      <c r="D156" s="51">
        <f t="shared" si="37"/>
        <v>46325</v>
      </c>
      <c r="E156" s="7">
        <f t="shared" si="38"/>
        <v>9</v>
      </c>
      <c r="F156" s="31">
        <f>E156*Dashboard!$I$3</f>
        <v>15102</v>
      </c>
      <c r="G156" s="18">
        <f>E139*Dashboard!$I$4</f>
        <v>15750</v>
      </c>
      <c r="H156" s="48"/>
      <c r="I156" s="7">
        <f t="shared" si="39"/>
        <v>9</v>
      </c>
      <c r="J156" s="31">
        <f>I156*Dashboard!$I$3</f>
        <v>15102</v>
      </c>
      <c r="K156" s="29">
        <f>I137*Dashboard!$I$4</f>
        <v>15750</v>
      </c>
      <c r="L156" s="48"/>
      <c r="M156" s="7">
        <f t="shared" si="40"/>
        <v>12</v>
      </c>
      <c r="N156" s="31">
        <f>M156*Dashboard!$I$3</f>
        <v>20136</v>
      </c>
      <c r="O156" s="18">
        <f>M135*Dashboard!$I$4</f>
        <v>21000</v>
      </c>
      <c r="P156" s="48"/>
      <c r="Q156" s="32">
        <f t="shared" si="29"/>
        <v>30</v>
      </c>
      <c r="R156" s="31">
        <f t="shared" si="30"/>
        <v>50340</v>
      </c>
      <c r="S156" s="31">
        <f t="shared" si="31"/>
        <v>52500</v>
      </c>
      <c r="T156" s="31">
        <f t="shared" si="32"/>
        <v>2160</v>
      </c>
      <c r="U156" s="31">
        <f>U155-R156+S156+V156-Custos!D156+Z155+AF155+AL155-AB155-AH155-AM155</f>
        <v>87844.705055183062</v>
      </c>
      <c r="V156" s="31">
        <f>U155*(((1+Dashboard!$C$17)^(1/30))-1)</f>
        <v>32.787371655630629</v>
      </c>
      <c r="W156" s="29">
        <f t="shared" si="33"/>
        <v>138184.70505518306</v>
      </c>
      <c r="X156" s="45">
        <f>-R156+S156-Custos!D156</f>
        <v>656.59999999999991</v>
      </c>
      <c r="Z156" s="83">
        <v>0</v>
      </c>
      <c r="AA156" s="33">
        <f>AC155*(((1+Dashboard!$C$20)^(1/30))-1)</f>
        <v>294.56903320463294</v>
      </c>
      <c r="AB156" s="84">
        <v>0</v>
      </c>
      <c r="AC156" s="18">
        <f t="shared" si="41"/>
        <v>642985.80857269722</v>
      </c>
      <c r="AD156" s="47">
        <f t="shared" si="34"/>
        <v>0</v>
      </c>
      <c r="AF156" s="83">
        <v>0</v>
      </c>
      <c r="AG156" s="33">
        <f>AI155*(((1+Dashboard!$C$21)^(1/30))-1)</f>
        <v>55.260796054050459</v>
      </c>
      <c r="AH156" s="84">
        <v>0</v>
      </c>
      <c r="AI156" s="29">
        <f t="shared" si="42"/>
        <v>108032.23686077762</v>
      </c>
      <c r="AJ156" s="45">
        <f t="shared" si="35"/>
        <v>0</v>
      </c>
      <c r="AL156" s="83">
        <v>0</v>
      </c>
      <c r="AM156" s="22">
        <v>0</v>
      </c>
      <c r="AN156" s="45">
        <f t="shared" si="36"/>
        <v>0</v>
      </c>
    </row>
    <row r="157" spans="2:40" x14ac:dyDescent="0.25">
      <c r="B157" s="53">
        <f>B156*(((1+Dashboard!$C$20)^(1/30)))</f>
        <v>1072134.1876962075</v>
      </c>
      <c r="C157" s="1">
        <v>153</v>
      </c>
      <c r="D157" s="51">
        <f t="shared" si="37"/>
        <v>46326</v>
      </c>
      <c r="E157" s="7">
        <f t="shared" si="38"/>
        <v>9</v>
      </c>
      <c r="F157" s="31">
        <f>E157*Dashboard!$I$3</f>
        <v>15102</v>
      </c>
      <c r="G157" s="18">
        <f>E140*Dashboard!$I$4</f>
        <v>15750</v>
      </c>
      <c r="H157" s="48"/>
      <c r="I157" s="7">
        <f t="shared" si="39"/>
        <v>9</v>
      </c>
      <c r="J157" s="31">
        <f>I157*Dashboard!$I$3</f>
        <v>15102</v>
      </c>
      <c r="K157" s="29">
        <f>I138*Dashboard!$I$4</f>
        <v>15750</v>
      </c>
      <c r="L157" s="48"/>
      <c r="M157" s="7">
        <f t="shared" si="40"/>
        <v>12</v>
      </c>
      <c r="N157" s="31">
        <f>M157*Dashboard!$I$3</f>
        <v>20136</v>
      </c>
      <c r="O157" s="18">
        <f>M136*Dashboard!$I$4</f>
        <v>21000</v>
      </c>
      <c r="P157" s="48"/>
      <c r="Q157" s="32">
        <f t="shared" si="29"/>
        <v>30</v>
      </c>
      <c r="R157" s="31">
        <f t="shared" si="30"/>
        <v>50340</v>
      </c>
      <c r="S157" s="31">
        <f t="shared" si="31"/>
        <v>52500</v>
      </c>
      <c r="T157" s="31">
        <f t="shared" si="32"/>
        <v>2160</v>
      </c>
      <c r="U157" s="31">
        <f>U156-R157+S157+V157-Custos!D157+Z156+AF156+AL156-AB156-AH156-AM156</f>
        <v>88534.351770738416</v>
      </c>
      <c r="V157" s="31">
        <f>U156*(((1+Dashboard!$C$17)^(1/30))-1)</f>
        <v>33.046715555348229</v>
      </c>
      <c r="W157" s="29">
        <f t="shared" si="33"/>
        <v>138874.35177073843</v>
      </c>
      <c r="X157" s="45">
        <f>-R157+S157-Custos!D157</f>
        <v>656.59999999999991</v>
      </c>
      <c r="Z157" s="83">
        <v>0</v>
      </c>
      <c r="AA157" s="33">
        <f>AC156*(((1+Dashboard!$C$20)^(1/30))-1)</f>
        <v>294.70404502677206</v>
      </c>
      <c r="AB157" s="84">
        <v>0</v>
      </c>
      <c r="AC157" s="18">
        <f t="shared" si="41"/>
        <v>643280.51261772402</v>
      </c>
      <c r="AD157" s="47">
        <f t="shared" si="34"/>
        <v>0</v>
      </c>
      <c r="AF157" s="83">
        <v>0</v>
      </c>
      <c r="AG157" s="33">
        <f>AI156*(((1+Dashboard!$C$21)^(1/30))-1)</f>
        <v>55.289077597874183</v>
      </c>
      <c r="AH157" s="84">
        <v>0</v>
      </c>
      <c r="AI157" s="29">
        <f t="shared" si="42"/>
        <v>108087.52593837549</v>
      </c>
      <c r="AJ157" s="45">
        <f t="shared" si="35"/>
        <v>0</v>
      </c>
      <c r="AL157" s="83">
        <v>0</v>
      </c>
      <c r="AM157" s="22">
        <v>0</v>
      </c>
      <c r="AN157" s="45">
        <f t="shared" si="36"/>
        <v>0</v>
      </c>
    </row>
    <row r="158" spans="2:40" x14ac:dyDescent="0.25">
      <c r="B158" s="53">
        <f>B157*(((1+Dashboard!$C$20)^(1/30)))</f>
        <v>1072625.586227424</v>
      </c>
      <c r="C158" s="1">
        <v>154</v>
      </c>
      <c r="D158" s="51">
        <f t="shared" si="37"/>
        <v>46327</v>
      </c>
      <c r="E158" s="7">
        <f t="shared" si="38"/>
        <v>9</v>
      </c>
      <c r="F158" s="31">
        <f>E158*Dashboard!$I$3</f>
        <v>15102</v>
      </c>
      <c r="G158" s="18">
        <f>E141*Dashboard!$I$4</f>
        <v>15750</v>
      </c>
      <c r="H158" s="48"/>
      <c r="I158" s="7">
        <f t="shared" si="39"/>
        <v>9</v>
      </c>
      <c r="J158" s="31">
        <f>I158*Dashboard!$I$3</f>
        <v>15102</v>
      </c>
      <c r="K158" s="29">
        <f>I139*Dashboard!$I$4</f>
        <v>15750</v>
      </c>
      <c r="L158" s="48"/>
      <c r="M158" s="7">
        <f t="shared" si="40"/>
        <v>12</v>
      </c>
      <c r="N158" s="31">
        <f>M158*Dashboard!$I$3</f>
        <v>20136</v>
      </c>
      <c r="O158" s="18">
        <f>M137*Dashboard!$I$4</f>
        <v>21000</v>
      </c>
      <c r="P158" s="48"/>
      <c r="Q158" s="32">
        <f t="shared" si="29"/>
        <v>30</v>
      </c>
      <c r="R158" s="31">
        <f t="shared" si="30"/>
        <v>50340</v>
      </c>
      <c r="S158" s="31">
        <f t="shared" si="31"/>
        <v>52500</v>
      </c>
      <c r="T158" s="31">
        <f t="shared" si="32"/>
        <v>2160</v>
      </c>
      <c r="U158" s="31">
        <f>U157-R158+S158+V158-Custos!D158+Z157+AF157+AL157-AB157-AH157-AM157</f>
        <v>89224.257927757295</v>
      </c>
      <c r="V158" s="31">
        <f>U157*(((1+Dashboard!$C$17)^(1/30))-1)</f>
        <v>33.306157018875496</v>
      </c>
      <c r="W158" s="29">
        <f t="shared" si="33"/>
        <v>139564.25792775728</v>
      </c>
      <c r="X158" s="45">
        <f>-R158+S158-Custos!D158</f>
        <v>656.59999999999991</v>
      </c>
      <c r="Z158" s="83">
        <v>0</v>
      </c>
      <c r="AA158" s="33">
        <f>AC157*(((1+Dashboard!$C$20)^(1/30))-1)</f>
        <v>294.83911872979508</v>
      </c>
      <c r="AB158" s="84">
        <v>0</v>
      </c>
      <c r="AC158" s="18">
        <f t="shared" si="41"/>
        <v>643575.35173645383</v>
      </c>
      <c r="AD158" s="47">
        <f t="shared" si="34"/>
        <v>0</v>
      </c>
      <c r="AF158" s="83">
        <v>0</v>
      </c>
      <c r="AG158" s="33">
        <f>AI157*(((1+Dashboard!$C$21)^(1/30))-1)</f>
        <v>55.317373615715255</v>
      </c>
      <c r="AH158" s="84">
        <v>0</v>
      </c>
      <c r="AI158" s="29">
        <f t="shared" si="42"/>
        <v>108142.84331199121</v>
      </c>
      <c r="AJ158" s="45">
        <f t="shared" si="35"/>
        <v>0</v>
      </c>
      <c r="AL158" s="83">
        <v>0</v>
      </c>
      <c r="AM158" s="22">
        <v>0</v>
      </c>
      <c r="AN158" s="45">
        <f t="shared" si="36"/>
        <v>0</v>
      </c>
    </row>
    <row r="159" spans="2:40" x14ac:dyDescent="0.25">
      <c r="B159" s="53">
        <f>B158*(((1+Dashboard!$C$20)^(1/30)))</f>
        <v>1073117.2099846608</v>
      </c>
      <c r="C159" s="1">
        <v>155</v>
      </c>
      <c r="D159" s="51">
        <f t="shared" si="37"/>
        <v>46328</v>
      </c>
      <c r="E159" s="7">
        <f t="shared" si="38"/>
        <v>9</v>
      </c>
      <c r="F159" s="31">
        <f>E159*Dashboard!$I$3</f>
        <v>15102</v>
      </c>
      <c r="G159" s="18">
        <f>E142*Dashboard!$I$4</f>
        <v>15750</v>
      </c>
      <c r="H159" s="48"/>
      <c r="I159" s="7">
        <f t="shared" si="39"/>
        <v>9</v>
      </c>
      <c r="J159" s="31">
        <f>I159*Dashboard!$I$3</f>
        <v>15102</v>
      </c>
      <c r="K159" s="29">
        <f>I140*Dashboard!$I$4</f>
        <v>15750</v>
      </c>
      <c r="L159" s="48"/>
      <c r="M159" s="7">
        <f t="shared" si="40"/>
        <v>12</v>
      </c>
      <c r="N159" s="31">
        <f>M159*Dashboard!$I$3</f>
        <v>20136</v>
      </c>
      <c r="O159" s="18">
        <f>M138*Dashboard!$I$4</f>
        <v>21000</v>
      </c>
      <c r="P159" s="48"/>
      <c r="Q159" s="32">
        <f t="shared" si="29"/>
        <v>30</v>
      </c>
      <c r="R159" s="31">
        <f t="shared" si="30"/>
        <v>50340</v>
      </c>
      <c r="S159" s="31">
        <f t="shared" si="31"/>
        <v>52500</v>
      </c>
      <c r="T159" s="31">
        <f t="shared" si="32"/>
        <v>2160</v>
      </c>
      <c r="U159" s="31">
        <f>U158-R159+S159+V159-Custos!D159+Z158+AF158+AL158-AB158-AH158-AM158</f>
        <v>89914.423623840223</v>
      </c>
      <c r="V159" s="31">
        <f>U158*(((1+Dashboard!$C$17)^(1/30))-1)</f>
        <v>33.56569608291543</v>
      </c>
      <c r="W159" s="29">
        <f t="shared" si="33"/>
        <v>140254.42362384021</v>
      </c>
      <c r="X159" s="45">
        <f>-R159+S159-Custos!D159</f>
        <v>656.59999999999991</v>
      </c>
      <c r="Z159" s="83">
        <v>0</v>
      </c>
      <c r="AA159" s="33">
        <f>AC158*(((1+Dashboard!$C$20)^(1/30))-1)</f>
        <v>294.97425434206417</v>
      </c>
      <c r="AB159" s="84">
        <v>0</v>
      </c>
      <c r="AC159" s="18">
        <f t="shared" si="41"/>
        <v>643870.32599079586</v>
      </c>
      <c r="AD159" s="47">
        <f t="shared" si="34"/>
        <v>0</v>
      </c>
      <c r="AF159" s="83">
        <v>0</v>
      </c>
      <c r="AG159" s="33">
        <f>AI158*(((1+Dashboard!$C$21)^(1/30))-1)</f>
        <v>55.345684114981246</v>
      </c>
      <c r="AH159" s="84">
        <v>0</v>
      </c>
      <c r="AI159" s="29">
        <f t="shared" si="42"/>
        <v>108198.18899610618</v>
      </c>
      <c r="AJ159" s="45">
        <f t="shared" si="35"/>
        <v>0</v>
      </c>
      <c r="AL159" s="83">
        <v>0</v>
      </c>
      <c r="AM159" s="22">
        <v>0</v>
      </c>
      <c r="AN159" s="45">
        <f t="shared" si="36"/>
        <v>0</v>
      </c>
    </row>
    <row r="160" spans="2:40" x14ac:dyDescent="0.25">
      <c r="B160" s="53">
        <f>B159*(((1+Dashboard!$C$20)^(1/30)))</f>
        <v>1073609.0590711473</v>
      </c>
      <c r="C160" s="1">
        <v>156</v>
      </c>
      <c r="D160" s="51">
        <f t="shared" si="37"/>
        <v>46329</v>
      </c>
      <c r="E160" s="7">
        <f t="shared" si="38"/>
        <v>9</v>
      </c>
      <c r="F160" s="31">
        <f>E160*Dashboard!$I$3</f>
        <v>15102</v>
      </c>
      <c r="G160" s="18">
        <f>E143*Dashboard!$I$4</f>
        <v>15750</v>
      </c>
      <c r="H160" s="48"/>
      <c r="I160" s="7">
        <f t="shared" si="39"/>
        <v>9</v>
      </c>
      <c r="J160" s="31">
        <f>I160*Dashboard!$I$3</f>
        <v>15102</v>
      </c>
      <c r="K160" s="29">
        <f>I141*Dashboard!$I$4</f>
        <v>15750</v>
      </c>
      <c r="L160" s="48"/>
      <c r="M160" s="7">
        <f t="shared" si="40"/>
        <v>12</v>
      </c>
      <c r="N160" s="31">
        <f>M160*Dashboard!$I$3</f>
        <v>20136</v>
      </c>
      <c r="O160" s="18">
        <f>M139*Dashboard!$I$4</f>
        <v>21000</v>
      </c>
      <c r="P160" s="48"/>
      <c r="Q160" s="32">
        <f t="shared" si="29"/>
        <v>30</v>
      </c>
      <c r="R160" s="31">
        <f t="shared" si="30"/>
        <v>50340</v>
      </c>
      <c r="S160" s="31">
        <f t="shared" si="31"/>
        <v>52500</v>
      </c>
      <c r="T160" s="31">
        <f t="shared" si="32"/>
        <v>2160</v>
      </c>
      <c r="U160" s="31">
        <f>U159-R160+S160+V160-Custos!D160+Z159+AF159+AL159-AB159-AH159-AM159</f>
        <v>90604.84895662441</v>
      </c>
      <c r="V160" s="31">
        <f>U159*(((1+Dashboard!$C$17)^(1/30))-1)</f>
        <v>33.82533278418483</v>
      </c>
      <c r="W160" s="29">
        <f t="shared" si="33"/>
        <v>140944.8489566244</v>
      </c>
      <c r="X160" s="45">
        <f>-R160+S160-Custos!D160</f>
        <v>656.59999999999991</v>
      </c>
      <c r="Z160" s="83">
        <v>0</v>
      </c>
      <c r="AA160" s="33">
        <f>AC159*(((1+Dashboard!$C$20)^(1/30))-1)</f>
        <v>295.10945189195456</v>
      </c>
      <c r="AB160" s="84">
        <v>0</v>
      </c>
      <c r="AC160" s="18">
        <f t="shared" si="41"/>
        <v>644165.43544268783</v>
      </c>
      <c r="AD160" s="47">
        <f t="shared" si="34"/>
        <v>0</v>
      </c>
      <c r="AF160" s="83">
        <v>0</v>
      </c>
      <c r="AG160" s="33">
        <f>AI159*(((1+Dashboard!$C$21)^(1/30))-1)</f>
        <v>55.374009103083488</v>
      </c>
      <c r="AH160" s="84">
        <v>0</v>
      </c>
      <c r="AI160" s="29">
        <f t="shared" si="42"/>
        <v>108253.56300520926</v>
      </c>
      <c r="AJ160" s="45">
        <f t="shared" si="35"/>
        <v>0</v>
      </c>
      <c r="AL160" s="83">
        <v>0</v>
      </c>
      <c r="AM160" s="22">
        <v>0</v>
      </c>
      <c r="AN160" s="45">
        <f t="shared" si="36"/>
        <v>0</v>
      </c>
    </row>
    <row r="161" spans="2:40" x14ac:dyDescent="0.25">
      <c r="B161" s="53">
        <f>B160*(((1+Dashboard!$C$20)^(1/30)))</f>
        <v>1074101.1335901604</v>
      </c>
      <c r="C161" s="1">
        <v>157</v>
      </c>
      <c r="D161" s="51">
        <f t="shared" si="37"/>
        <v>46330</v>
      </c>
      <c r="E161" s="7">
        <f t="shared" si="38"/>
        <v>9</v>
      </c>
      <c r="F161" s="31">
        <f>E161*Dashboard!$I$3</f>
        <v>15102</v>
      </c>
      <c r="G161" s="18">
        <f>E144*Dashboard!$I$4</f>
        <v>15750</v>
      </c>
      <c r="H161" s="48"/>
      <c r="I161" s="7">
        <f t="shared" si="39"/>
        <v>9</v>
      </c>
      <c r="J161" s="31">
        <f>I161*Dashboard!$I$3</f>
        <v>15102</v>
      </c>
      <c r="K161" s="29">
        <f>I142*Dashboard!$I$4</f>
        <v>15750</v>
      </c>
      <c r="L161" s="48"/>
      <c r="M161" s="7">
        <f t="shared" si="40"/>
        <v>12</v>
      </c>
      <c r="N161" s="31">
        <f>M161*Dashboard!$I$3</f>
        <v>20136</v>
      </c>
      <c r="O161" s="18">
        <f>M140*Dashboard!$I$4</f>
        <v>21000</v>
      </c>
      <c r="P161" s="48"/>
      <c r="Q161" s="32">
        <f t="shared" si="29"/>
        <v>30</v>
      </c>
      <c r="R161" s="31">
        <f t="shared" si="30"/>
        <v>50340</v>
      </c>
      <c r="S161" s="31">
        <f t="shared" si="31"/>
        <v>52500</v>
      </c>
      <c r="T161" s="31">
        <f t="shared" si="32"/>
        <v>2160</v>
      </c>
      <c r="U161" s="31">
        <f>U160-R161+S161+V161-Custos!D161+Z160+AF160+AL160-AB160-AH160-AM160</f>
        <v>91295.534023783825</v>
      </c>
      <c r="V161" s="31">
        <f>U160*(((1+Dashboard!$C$17)^(1/30))-1)</f>
        <v>34.085067159414308</v>
      </c>
      <c r="W161" s="29">
        <f t="shared" si="33"/>
        <v>141635.53402378381</v>
      </c>
      <c r="X161" s="45">
        <f>-R161+S161-Custos!D161</f>
        <v>656.59999999999991</v>
      </c>
      <c r="Z161" s="83">
        <v>0</v>
      </c>
      <c r="AA161" s="33">
        <f>AC160*(((1+Dashboard!$C$20)^(1/30))-1)</f>
        <v>295.24471140785471</v>
      </c>
      <c r="AB161" s="84">
        <v>0</v>
      </c>
      <c r="AC161" s="18">
        <f t="shared" si="41"/>
        <v>644460.68015409564</v>
      </c>
      <c r="AD161" s="47">
        <f t="shared" si="34"/>
        <v>0</v>
      </c>
      <c r="AF161" s="83">
        <v>0</v>
      </c>
      <c r="AG161" s="33">
        <f>AI160*(((1+Dashboard!$C$21)^(1/30))-1)</f>
        <v>55.402348587437132</v>
      </c>
      <c r="AH161" s="84">
        <v>0</v>
      </c>
      <c r="AI161" s="29">
        <f t="shared" si="42"/>
        <v>108308.9653537967</v>
      </c>
      <c r="AJ161" s="45">
        <f t="shared" si="35"/>
        <v>0</v>
      </c>
      <c r="AL161" s="83">
        <v>0</v>
      </c>
      <c r="AM161" s="22">
        <v>0</v>
      </c>
      <c r="AN161" s="45">
        <f t="shared" si="36"/>
        <v>0</v>
      </c>
    </row>
    <row r="162" spans="2:40" x14ac:dyDescent="0.25">
      <c r="B162" s="53">
        <f>B161*(((1+Dashboard!$C$20)^(1/30)))</f>
        <v>1074593.433645024</v>
      </c>
      <c r="C162" s="1">
        <v>158</v>
      </c>
      <c r="D162" s="51">
        <f t="shared" si="37"/>
        <v>46331</v>
      </c>
      <c r="E162" s="7">
        <f t="shared" si="38"/>
        <v>9</v>
      </c>
      <c r="F162" s="31">
        <f>E162*Dashboard!$I$3</f>
        <v>15102</v>
      </c>
      <c r="G162" s="18">
        <f>E145*Dashboard!$I$4</f>
        <v>15750</v>
      </c>
      <c r="H162" s="48"/>
      <c r="I162" s="7">
        <f t="shared" si="39"/>
        <v>9</v>
      </c>
      <c r="J162" s="31">
        <f>I162*Dashboard!$I$3</f>
        <v>15102</v>
      </c>
      <c r="K162" s="29">
        <f>I143*Dashboard!$I$4</f>
        <v>15750</v>
      </c>
      <c r="L162" s="48"/>
      <c r="M162" s="7">
        <f t="shared" si="40"/>
        <v>12</v>
      </c>
      <c r="N162" s="31">
        <f>M162*Dashboard!$I$3</f>
        <v>20136</v>
      </c>
      <c r="O162" s="18">
        <f>M141*Dashboard!$I$4</f>
        <v>21000</v>
      </c>
      <c r="P162" s="48"/>
      <c r="Q162" s="32">
        <f t="shared" si="29"/>
        <v>30</v>
      </c>
      <c r="R162" s="31">
        <f t="shared" si="30"/>
        <v>50340</v>
      </c>
      <c r="S162" s="31">
        <f t="shared" si="31"/>
        <v>52500</v>
      </c>
      <c r="T162" s="31">
        <f t="shared" si="32"/>
        <v>2160</v>
      </c>
      <c r="U162" s="31">
        <f>U161-R162+S162+V162-Custos!D162+Z161+AF161+AL161-AB161-AH161-AM161</f>
        <v>91986.478923029179</v>
      </c>
      <c r="V162" s="31">
        <f>U161*(((1+Dashboard!$C$17)^(1/30))-1)</f>
        <v>34.344899245348294</v>
      </c>
      <c r="W162" s="29">
        <f t="shared" si="33"/>
        <v>142326.47892302918</v>
      </c>
      <c r="X162" s="45">
        <f>-R162+S162-Custos!D162</f>
        <v>656.59999999999991</v>
      </c>
      <c r="Z162" s="83">
        <v>0</v>
      </c>
      <c r="AA162" s="33">
        <f>AC161*(((1+Dashboard!$C$20)^(1/30))-1)</f>
        <v>295.3800329181658</v>
      </c>
      <c r="AB162" s="84">
        <v>0</v>
      </c>
      <c r="AC162" s="18">
        <f t="shared" si="41"/>
        <v>644756.06018701382</v>
      </c>
      <c r="AD162" s="47">
        <f t="shared" si="34"/>
        <v>0</v>
      </c>
      <c r="AF162" s="83">
        <v>0</v>
      </c>
      <c r="AG162" s="33">
        <f>AI161*(((1+Dashboard!$C$21)^(1/30))-1)</f>
        <v>55.430702575461126</v>
      </c>
      <c r="AH162" s="84">
        <v>0</v>
      </c>
      <c r="AI162" s="29">
        <f t="shared" si="42"/>
        <v>108364.39605637216</v>
      </c>
      <c r="AJ162" s="45">
        <f t="shared" si="35"/>
        <v>0</v>
      </c>
      <c r="AL162" s="83">
        <v>0</v>
      </c>
      <c r="AM162" s="22">
        <v>0</v>
      </c>
      <c r="AN162" s="45">
        <f t="shared" si="36"/>
        <v>0</v>
      </c>
    </row>
    <row r="163" spans="2:40" x14ac:dyDescent="0.25">
      <c r="B163" s="53">
        <f>B162*(((1+Dashboard!$C$20)^(1/30)))</f>
        <v>1075085.9593391095</v>
      </c>
      <c r="C163" s="1">
        <v>159</v>
      </c>
      <c r="D163" s="51">
        <f t="shared" si="37"/>
        <v>46332</v>
      </c>
      <c r="E163" s="7">
        <f t="shared" si="38"/>
        <v>9</v>
      </c>
      <c r="F163" s="31">
        <f>E163*Dashboard!$I$3</f>
        <v>15102</v>
      </c>
      <c r="G163" s="18">
        <f>E146*Dashboard!$I$4</f>
        <v>15750</v>
      </c>
      <c r="H163" s="48"/>
      <c r="I163" s="7">
        <f t="shared" si="39"/>
        <v>9</v>
      </c>
      <c r="J163" s="31">
        <f>I163*Dashboard!$I$3</f>
        <v>15102</v>
      </c>
      <c r="K163" s="29">
        <f>I144*Dashboard!$I$4</f>
        <v>15750</v>
      </c>
      <c r="L163" s="48"/>
      <c r="M163" s="7">
        <f t="shared" si="40"/>
        <v>12</v>
      </c>
      <c r="N163" s="31">
        <f>M163*Dashboard!$I$3</f>
        <v>20136</v>
      </c>
      <c r="O163" s="18">
        <f>M142*Dashboard!$I$4</f>
        <v>21000</v>
      </c>
      <c r="P163" s="48"/>
      <c r="Q163" s="32">
        <f t="shared" si="29"/>
        <v>30</v>
      </c>
      <c r="R163" s="31">
        <f t="shared" si="30"/>
        <v>50340</v>
      </c>
      <c r="S163" s="31">
        <f t="shared" si="31"/>
        <v>52500</v>
      </c>
      <c r="T163" s="31">
        <f t="shared" si="32"/>
        <v>2160</v>
      </c>
      <c r="U163" s="31">
        <f>U162-R163+S163+V163-Custos!D163+Z162+AF162+AL162-AB162-AH162-AM162</f>
        <v>92677.683752107929</v>
      </c>
      <c r="V163" s="31">
        <f>U162*(((1+Dashboard!$C$17)^(1/30))-1)</f>
        <v>34.604829078745041</v>
      </c>
      <c r="W163" s="29">
        <f t="shared" si="33"/>
        <v>143017.68375210793</v>
      </c>
      <c r="X163" s="45">
        <f>-R163+S163-Custos!D163</f>
        <v>656.59999999999991</v>
      </c>
      <c r="Z163" s="83">
        <v>0</v>
      </c>
      <c r="AA163" s="33">
        <f>AC162*(((1+Dashboard!$C$20)^(1/30))-1)</f>
        <v>295.5154164513022</v>
      </c>
      <c r="AB163" s="84">
        <v>0</v>
      </c>
      <c r="AC163" s="18">
        <f t="shared" si="41"/>
        <v>645051.57560346508</v>
      </c>
      <c r="AD163" s="47">
        <f t="shared" si="34"/>
        <v>0</v>
      </c>
      <c r="AF163" s="83">
        <v>0</v>
      </c>
      <c r="AG163" s="33">
        <f>AI162*(((1+Dashboard!$C$21)^(1/30))-1)</f>
        <v>55.459071074578191</v>
      </c>
      <c r="AH163" s="84">
        <v>0</v>
      </c>
      <c r="AI163" s="29">
        <f t="shared" si="42"/>
        <v>108419.85512744675</v>
      </c>
      <c r="AJ163" s="45">
        <f t="shared" si="35"/>
        <v>0</v>
      </c>
      <c r="AL163" s="83">
        <v>0</v>
      </c>
      <c r="AM163" s="22">
        <v>0</v>
      </c>
      <c r="AN163" s="45">
        <f t="shared" si="36"/>
        <v>0</v>
      </c>
    </row>
    <row r="164" spans="2:40" x14ac:dyDescent="0.25">
      <c r="B164" s="53">
        <f>B163*(((1+Dashboard!$C$20)^(1/30)))</f>
        <v>1075578.7107758357</v>
      </c>
      <c r="C164" s="1">
        <v>160</v>
      </c>
      <c r="D164" s="51">
        <f t="shared" si="37"/>
        <v>46333</v>
      </c>
      <c r="E164" s="7">
        <f t="shared" si="38"/>
        <v>9</v>
      </c>
      <c r="F164" s="31">
        <f>E164*Dashboard!$I$3</f>
        <v>15102</v>
      </c>
      <c r="G164" s="18">
        <f>E147*Dashboard!$I$4</f>
        <v>15750</v>
      </c>
      <c r="H164" s="48"/>
      <c r="I164" s="7">
        <f t="shared" si="39"/>
        <v>9</v>
      </c>
      <c r="J164" s="31">
        <f>I164*Dashboard!$I$3</f>
        <v>15102</v>
      </c>
      <c r="K164" s="29">
        <f>I145*Dashboard!$I$4</f>
        <v>15750</v>
      </c>
      <c r="L164" s="48"/>
      <c r="M164" s="7">
        <f t="shared" si="40"/>
        <v>12</v>
      </c>
      <c r="N164" s="31">
        <f>M164*Dashboard!$I$3</f>
        <v>20136</v>
      </c>
      <c r="O164" s="18">
        <f>M143*Dashboard!$I$4</f>
        <v>21000</v>
      </c>
      <c r="P164" s="48"/>
      <c r="Q164" s="32">
        <f t="shared" si="29"/>
        <v>30</v>
      </c>
      <c r="R164" s="31">
        <f t="shared" si="30"/>
        <v>50340</v>
      </c>
      <c r="S164" s="31">
        <f t="shared" si="31"/>
        <v>52500</v>
      </c>
      <c r="T164" s="31">
        <f t="shared" si="32"/>
        <v>2160</v>
      </c>
      <c r="U164" s="31">
        <f>U163-R164+S164+V164-Custos!D164+Z163+AF163+AL163-AB163-AH163-AM163</f>
        <v>93369.148608804317</v>
      </c>
      <c r="V164" s="31">
        <f>U163*(((1+Dashboard!$C$17)^(1/30))-1)</f>
        <v>34.864856696376627</v>
      </c>
      <c r="W164" s="29">
        <f t="shared" si="33"/>
        <v>143709.14860880433</v>
      </c>
      <c r="X164" s="45">
        <f>-R164+S164-Custos!D164</f>
        <v>656.59999999999991</v>
      </c>
      <c r="Z164" s="83">
        <v>0</v>
      </c>
      <c r="AA164" s="33">
        <f>AC163*(((1+Dashboard!$C$20)^(1/30))-1)</f>
        <v>295.65086203569115</v>
      </c>
      <c r="AB164" s="84">
        <v>0</v>
      </c>
      <c r="AC164" s="18">
        <f t="shared" si="41"/>
        <v>645347.22646550077</v>
      </c>
      <c r="AD164" s="47">
        <f t="shared" si="34"/>
        <v>0</v>
      </c>
      <c r="AF164" s="83">
        <v>0</v>
      </c>
      <c r="AG164" s="33">
        <f>AI163*(((1+Dashboard!$C$21)^(1/30))-1)</f>
        <v>55.487454092214861</v>
      </c>
      <c r="AH164" s="84">
        <v>0</v>
      </c>
      <c r="AI164" s="29">
        <f t="shared" si="42"/>
        <v>108475.34258153896</v>
      </c>
      <c r="AJ164" s="45">
        <f t="shared" si="35"/>
        <v>0</v>
      </c>
      <c r="AL164" s="83">
        <v>0</v>
      </c>
      <c r="AM164" s="22">
        <v>0</v>
      </c>
      <c r="AN164" s="45">
        <f t="shared" si="36"/>
        <v>0</v>
      </c>
    </row>
    <row r="165" spans="2:40" x14ac:dyDescent="0.25">
      <c r="B165" s="53">
        <f>B164*(((1+Dashboard!$C$20)^(1/30)))</f>
        <v>1076071.6880586685</v>
      </c>
      <c r="C165" s="1">
        <v>161</v>
      </c>
      <c r="D165" s="51">
        <f t="shared" si="37"/>
        <v>46334</v>
      </c>
      <c r="E165" s="7">
        <f t="shared" si="38"/>
        <v>9</v>
      </c>
      <c r="F165" s="31">
        <f>E165*Dashboard!$I$3</f>
        <v>15102</v>
      </c>
      <c r="G165" s="18">
        <f>E148*Dashboard!$I$4</f>
        <v>15750</v>
      </c>
      <c r="H165" s="48"/>
      <c r="I165" s="7">
        <f t="shared" si="39"/>
        <v>9</v>
      </c>
      <c r="J165" s="31">
        <f>I165*Dashboard!$I$3</f>
        <v>15102</v>
      </c>
      <c r="K165" s="29">
        <f>I146*Dashboard!$I$4</f>
        <v>15750</v>
      </c>
      <c r="L165" s="48"/>
      <c r="M165" s="7">
        <f t="shared" si="40"/>
        <v>12</v>
      </c>
      <c r="N165" s="31">
        <f>M165*Dashboard!$I$3</f>
        <v>20136</v>
      </c>
      <c r="O165" s="18">
        <f>M144*Dashboard!$I$4</f>
        <v>21000</v>
      </c>
      <c r="P165" s="48"/>
      <c r="Q165" s="32">
        <f t="shared" si="29"/>
        <v>30</v>
      </c>
      <c r="R165" s="31">
        <f t="shared" si="30"/>
        <v>50340</v>
      </c>
      <c r="S165" s="31">
        <f t="shared" si="31"/>
        <v>52500</v>
      </c>
      <c r="T165" s="31">
        <f t="shared" si="32"/>
        <v>2160</v>
      </c>
      <c r="U165" s="31">
        <f>U164-R165+S165+V165-Custos!D165+Z164+AF164+AL164-AB164-AH164-AM164</f>
        <v>94060.873590939358</v>
      </c>
      <c r="V165" s="31">
        <f>U164*(((1+Dashboard!$C$17)^(1/30))-1)</f>
        <v>35.124982135028965</v>
      </c>
      <c r="W165" s="29">
        <f t="shared" si="33"/>
        <v>144400.87359093936</v>
      </c>
      <c r="X165" s="45">
        <f>-R165+S165-Custos!D165</f>
        <v>656.59999999999991</v>
      </c>
      <c r="Z165" s="83">
        <v>0</v>
      </c>
      <c r="AA165" s="33">
        <f>AC164*(((1+Dashboard!$C$20)^(1/30))-1)</f>
        <v>295.78636969977316</v>
      </c>
      <c r="AB165" s="84">
        <v>0</v>
      </c>
      <c r="AC165" s="18">
        <f t="shared" si="41"/>
        <v>645643.01283520053</v>
      </c>
      <c r="AD165" s="47">
        <f t="shared" si="34"/>
        <v>0</v>
      </c>
      <c r="AF165" s="83">
        <v>0</v>
      </c>
      <c r="AG165" s="33">
        <f>AI164*(((1+Dashboard!$C$21)^(1/30))-1)</f>
        <v>55.515851635801475</v>
      </c>
      <c r="AH165" s="84">
        <v>0</v>
      </c>
      <c r="AI165" s="29">
        <f t="shared" si="42"/>
        <v>108530.85843317477</v>
      </c>
      <c r="AJ165" s="45">
        <f t="shared" si="35"/>
        <v>0</v>
      </c>
      <c r="AL165" s="83">
        <v>0</v>
      </c>
      <c r="AM165" s="22">
        <v>0</v>
      </c>
      <c r="AN165" s="45">
        <f t="shared" si="36"/>
        <v>0</v>
      </c>
    </row>
    <row r="166" spans="2:40" x14ac:dyDescent="0.25">
      <c r="B166" s="53">
        <f>B165*(((1+Dashboard!$C$20)^(1/30)))</f>
        <v>1076564.891291122</v>
      </c>
      <c r="C166" s="1">
        <v>162</v>
      </c>
      <c r="D166" s="51">
        <f t="shared" si="37"/>
        <v>46335</v>
      </c>
      <c r="E166" s="7">
        <f t="shared" si="38"/>
        <v>9</v>
      </c>
      <c r="F166" s="31">
        <f>E166*Dashboard!$I$3</f>
        <v>15102</v>
      </c>
      <c r="G166" s="18">
        <f>E149*Dashboard!$I$4</f>
        <v>15750</v>
      </c>
      <c r="H166" s="48"/>
      <c r="I166" s="7">
        <f t="shared" si="39"/>
        <v>9</v>
      </c>
      <c r="J166" s="31">
        <f>I166*Dashboard!$I$3</f>
        <v>15102</v>
      </c>
      <c r="K166" s="29">
        <f>I147*Dashboard!$I$4</f>
        <v>15750</v>
      </c>
      <c r="L166" s="48"/>
      <c r="M166" s="7">
        <f t="shared" si="40"/>
        <v>12</v>
      </c>
      <c r="N166" s="31">
        <f>M166*Dashboard!$I$3</f>
        <v>20136</v>
      </c>
      <c r="O166" s="18">
        <f>M145*Dashboard!$I$4</f>
        <v>21000</v>
      </c>
      <c r="P166" s="48"/>
      <c r="Q166" s="32">
        <f t="shared" si="29"/>
        <v>30</v>
      </c>
      <c r="R166" s="31">
        <f t="shared" si="30"/>
        <v>50340</v>
      </c>
      <c r="S166" s="31">
        <f t="shared" si="31"/>
        <v>52500</v>
      </c>
      <c r="T166" s="31">
        <f t="shared" si="32"/>
        <v>2160</v>
      </c>
      <c r="U166" s="31">
        <f>U165-R166+S166+V166-Custos!D166+Z165+AF165+AL165-AB165-AH165-AM165</f>
        <v>94752.858796370871</v>
      </c>
      <c r="V166" s="31">
        <f>U165*(((1+Dashboard!$C$17)^(1/30))-1)</f>
        <v>35.385205431501817</v>
      </c>
      <c r="W166" s="29">
        <f t="shared" si="33"/>
        <v>145092.85879637086</v>
      </c>
      <c r="X166" s="45">
        <f>-R166+S166-Custos!D166</f>
        <v>656.59999999999991</v>
      </c>
      <c r="Z166" s="83">
        <v>0</v>
      </c>
      <c r="AA166" s="33">
        <f>AC165*(((1+Dashboard!$C$20)^(1/30))-1)</f>
        <v>295.92193947200161</v>
      </c>
      <c r="AB166" s="84">
        <v>0</v>
      </c>
      <c r="AC166" s="18">
        <f t="shared" si="41"/>
        <v>645938.9347746725</v>
      </c>
      <c r="AD166" s="47">
        <f t="shared" si="34"/>
        <v>0</v>
      </c>
      <c r="AF166" s="83">
        <v>0</v>
      </c>
      <c r="AG166" s="33">
        <f>AI165*(((1+Dashboard!$C$21)^(1/30))-1)</f>
        <v>55.544263712772164</v>
      </c>
      <c r="AH166" s="84">
        <v>0</v>
      </c>
      <c r="AI166" s="29">
        <f t="shared" si="42"/>
        <v>108586.40269688754</v>
      </c>
      <c r="AJ166" s="45">
        <f t="shared" si="35"/>
        <v>0</v>
      </c>
      <c r="AL166" s="83">
        <v>0</v>
      </c>
      <c r="AM166" s="22">
        <v>0</v>
      </c>
      <c r="AN166" s="45">
        <f t="shared" si="36"/>
        <v>0</v>
      </c>
    </row>
    <row r="167" spans="2:40" x14ac:dyDescent="0.25">
      <c r="B167" s="53">
        <f>B166*(((1+Dashboard!$C$20)^(1/30)))</f>
        <v>1077058.3205767567</v>
      </c>
      <c r="C167" s="1">
        <v>163</v>
      </c>
      <c r="D167" s="51">
        <f t="shared" si="37"/>
        <v>46336</v>
      </c>
      <c r="E167" s="7">
        <f t="shared" si="38"/>
        <v>9</v>
      </c>
      <c r="F167" s="31">
        <f>E167*Dashboard!$I$3</f>
        <v>15102</v>
      </c>
      <c r="G167" s="18">
        <f>E150*Dashboard!$I$4</f>
        <v>15750</v>
      </c>
      <c r="H167" s="48"/>
      <c r="I167" s="7">
        <f t="shared" si="39"/>
        <v>9</v>
      </c>
      <c r="J167" s="31">
        <f>I167*Dashboard!$I$3</f>
        <v>15102</v>
      </c>
      <c r="K167" s="29">
        <f>I148*Dashboard!$I$4</f>
        <v>15750</v>
      </c>
      <c r="L167" s="48"/>
      <c r="M167" s="7">
        <f t="shared" si="40"/>
        <v>12</v>
      </c>
      <c r="N167" s="31">
        <f>M167*Dashboard!$I$3</f>
        <v>20136</v>
      </c>
      <c r="O167" s="18">
        <f>M146*Dashboard!$I$4</f>
        <v>21000</v>
      </c>
      <c r="P167" s="48"/>
      <c r="Q167" s="32">
        <f t="shared" si="29"/>
        <v>30</v>
      </c>
      <c r="R167" s="31">
        <f t="shared" si="30"/>
        <v>50340</v>
      </c>
      <c r="S167" s="31">
        <f t="shared" si="31"/>
        <v>52500</v>
      </c>
      <c r="T167" s="31">
        <f t="shared" si="32"/>
        <v>2160</v>
      </c>
      <c r="U167" s="31">
        <f>U166-R167+S167+V167-Custos!D167+Z166+AF166+AL166-AB166-AH166-AM166</f>
        <v>95445.104322993488</v>
      </c>
      <c r="V167" s="31">
        <f>U166*(((1+Dashboard!$C$17)^(1/30))-1)</f>
        <v>35.645526622608777</v>
      </c>
      <c r="W167" s="29">
        <f t="shared" si="33"/>
        <v>145785.10432299349</v>
      </c>
      <c r="X167" s="45">
        <f>-R167+S167-Custos!D167</f>
        <v>656.59999999999991</v>
      </c>
      <c r="Z167" s="83">
        <v>0</v>
      </c>
      <c r="AA167" s="33">
        <f>AC166*(((1+Dashboard!$C$20)^(1/30))-1)</f>
        <v>296.05757138084289</v>
      </c>
      <c r="AB167" s="84">
        <v>0</v>
      </c>
      <c r="AC167" s="18">
        <f t="shared" si="41"/>
        <v>646234.99234605336</v>
      </c>
      <c r="AD167" s="47">
        <f t="shared" si="34"/>
        <v>0</v>
      </c>
      <c r="AF167" s="83">
        <v>0</v>
      </c>
      <c r="AG167" s="33">
        <f>AI166*(((1+Dashboard!$C$21)^(1/30))-1)</f>
        <v>55.572690330564868</v>
      </c>
      <c r="AH167" s="84">
        <v>0</v>
      </c>
      <c r="AI167" s="29">
        <f t="shared" si="42"/>
        <v>108641.9753872181</v>
      </c>
      <c r="AJ167" s="45">
        <f t="shared" si="35"/>
        <v>0</v>
      </c>
      <c r="AL167" s="83">
        <v>0</v>
      </c>
      <c r="AM167" s="22">
        <v>0</v>
      </c>
      <c r="AN167" s="45">
        <f t="shared" si="36"/>
        <v>0</v>
      </c>
    </row>
    <row r="168" spans="2:40" x14ac:dyDescent="0.25">
      <c r="B168" s="53">
        <f>B167*(((1+Dashboard!$C$20)^(1/30)))</f>
        <v>1077551.9760191813</v>
      </c>
      <c r="C168" s="1">
        <v>164</v>
      </c>
      <c r="D168" s="51">
        <f t="shared" si="37"/>
        <v>46337</v>
      </c>
      <c r="E168" s="7">
        <f t="shared" si="38"/>
        <v>9</v>
      </c>
      <c r="F168" s="31">
        <f>E168*Dashboard!$I$3</f>
        <v>15102</v>
      </c>
      <c r="G168" s="18">
        <f>E151*Dashboard!$I$4</f>
        <v>15750</v>
      </c>
      <c r="H168" s="48"/>
      <c r="I168" s="7">
        <f t="shared" si="39"/>
        <v>9</v>
      </c>
      <c r="J168" s="31">
        <f>I168*Dashboard!$I$3</f>
        <v>15102</v>
      </c>
      <c r="K168" s="29">
        <f>I149*Dashboard!$I$4</f>
        <v>15750</v>
      </c>
      <c r="L168" s="48"/>
      <c r="M168" s="7">
        <f t="shared" si="40"/>
        <v>12</v>
      </c>
      <c r="N168" s="31">
        <f>M168*Dashboard!$I$3</f>
        <v>20136</v>
      </c>
      <c r="O168" s="18">
        <f>M147*Dashboard!$I$4</f>
        <v>21000</v>
      </c>
      <c r="P168" s="48"/>
      <c r="Q168" s="32">
        <f t="shared" si="29"/>
        <v>30</v>
      </c>
      <c r="R168" s="31">
        <f t="shared" si="30"/>
        <v>50340</v>
      </c>
      <c r="S168" s="31">
        <f t="shared" si="31"/>
        <v>52500</v>
      </c>
      <c r="T168" s="31">
        <f t="shared" si="32"/>
        <v>2160</v>
      </c>
      <c r="U168" s="31">
        <f>U167-R168+S168+V168-Custos!D168+Z167+AF167+AL167-AB167-AH167-AM167</f>
        <v>96137.610268738674</v>
      </c>
      <c r="V168" s="31">
        <f>U167*(((1+Dashboard!$C$17)^(1/30))-1)</f>
        <v>35.905945745177277</v>
      </c>
      <c r="W168" s="29">
        <f t="shared" si="33"/>
        <v>146477.61026873867</v>
      </c>
      <c r="X168" s="45">
        <f>-R168+S168-Custos!D168</f>
        <v>656.59999999999991</v>
      </c>
      <c r="Z168" s="83">
        <v>0</v>
      </c>
      <c r="AA168" s="33">
        <f>AC167*(((1+Dashboard!$C$20)^(1/30))-1)</f>
        <v>296.19326545477651</v>
      </c>
      <c r="AB168" s="84">
        <v>0</v>
      </c>
      <c r="AC168" s="18">
        <f t="shared" si="41"/>
        <v>646531.18561150809</v>
      </c>
      <c r="AD168" s="47">
        <f t="shared" si="34"/>
        <v>0</v>
      </c>
      <c r="AF168" s="83">
        <v>0</v>
      </c>
      <c r="AG168" s="33">
        <f>AI167*(((1+Dashboard!$C$21)^(1/30))-1)</f>
        <v>55.601131496621335</v>
      </c>
      <c r="AH168" s="84">
        <v>0</v>
      </c>
      <c r="AI168" s="29">
        <f t="shared" si="42"/>
        <v>108697.57651871472</v>
      </c>
      <c r="AJ168" s="45">
        <f t="shared" si="35"/>
        <v>0</v>
      </c>
      <c r="AL168" s="83">
        <v>0</v>
      </c>
      <c r="AM168" s="22">
        <v>0</v>
      </c>
      <c r="AN168" s="45">
        <f t="shared" si="36"/>
        <v>0</v>
      </c>
    </row>
    <row r="169" spans="2:40" x14ac:dyDescent="0.25">
      <c r="B169" s="53">
        <f>B168*(((1+Dashboard!$C$20)^(1/30)))</f>
        <v>1078045.8577220519</v>
      </c>
      <c r="C169" s="1">
        <v>165</v>
      </c>
      <c r="D169" s="51">
        <f t="shared" si="37"/>
        <v>46338</v>
      </c>
      <c r="E169" s="7">
        <f t="shared" si="38"/>
        <v>9</v>
      </c>
      <c r="F169" s="31">
        <f>E169*Dashboard!$I$3</f>
        <v>15102</v>
      </c>
      <c r="G169" s="18">
        <f>E152*Dashboard!$I$4</f>
        <v>15750</v>
      </c>
      <c r="H169" s="48"/>
      <c r="I169" s="7">
        <f t="shared" si="39"/>
        <v>9</v>
      </c>
      <c r="J169" s="31">
        <f>I169*Dashboard!$I$3</f>
        <v>15102</v>
      </c>
      <c r="K169" s="29">
        <f>I150*Dashboard!$I$4</f>
        <v>15750</v>
      </c>
      <c r="L169" s="48"/>
      <c r="M169" s="7">
        <f t="shared" si="40"/>
        <v>12</v>
      </c>
      <c r="N169" s="31">
        <f>M169*Dashboard!$I$3</f>
        <v>20136</v>
      </c>
      <c r="O169" s="18">
        <f>M148*Dashboard!$I$4</f>
        <v>21000</v>
      </c>
      <c r="P169" s="48"/>
      <c r="Q169" s="32">
        <f t="shared" si="29"/>
        <v>30</v>
      </c>
      <c r="R169" s="31">
        <f t="shared" si="30"/>
        <v>50340</v>
      </c>
      <c r="S169" s="31">
        <f t="shared" si="31"/>
        <v>52500</v>
      </c>
      <c r="T169" s="31">
        <f t="shared" si="32"/>
        <v>2160</v>
      </c>
      <c r="U169" s="31">
        <f>U168-R169+S169+V169-Custos!D169+Z168+AF168+AL168-AB168-AH168-AM168</f>
        <v>96830.376731574725</v>
      </c>
      <c r="V169" s="31">
        <f>U168*(((1+Dashboard!$C$17)^(1/30))-1)</f>
        <v>36.166462836048638</v>
      </c>
      <c r="W169" s="29">
        <f t="shared" si="33"/>
        <v>147170.37673157471</v>
      </c>
      <c r="X169" s="45">
        <f>-R169+S169-Custos!D169</f>
        <v>656.59999999999991</v>
      </c>
      <c r="Z169" s="83">
        <v>0</v>
      </c>
      <c r="AA169" s="33">
        <f>AC168*(((1+Dashboard!$C$20)^(1/30))-1)</f>
        <v>296.32902172229501</v>
      </c>
      <c r="AB169" s="84">
        <v>0</v>
      </c>
      <c r="AC169" s="18">
        <f t="shared" si="41"/>
        <v>646827.5146332304</v>
      </c>
      <c r="AD169" s="47">
        <f t="shared" si="34"/>
        <v>0</v>
      </c>
      <c r="AF169" s="83">
        <v>0</v>
      </c>
      <c r="AG169" s="33">
        <f>AI168*(((1+Dashboard!$C$21)^(1/30))-1)</f>
        <v>55.629587218387123</v>
      </c>
      <c r="AH169" s="84">
        <v>0</v>
      </c>
      <c r="AI169" s="29">
        <f t="shared" si="42"/>
        <v>108753.2061059331</v>
      </c>
      <c r="AJ169" s="45">
        <f t="shared" si="35"/>
        <v>0</v>
      </c>
      <c r="AL169" s="83">
        <v>0</v>
      </c>
      <c r="AM169" s="22">
        <v>0</v>
      </c>
      <c r="AN169" s="45">
        <f t="shared" si="36"/>
        <v>0</v>
      </c>
    </row>
    <row r="170" spans="2:40" x14ac:dyDescent="0.25">
      <c r="B170" s="53">
        <f>B169*(((1+Dashboard!$C$20)^(1/30)))</f>
        <v>1078539.9657890717</v>
      </c>
      <c r="C170" s="1">
        <v>166</v>
      </c>
      <c r="D170" s="51">
        <f t="shared" si="37"/>
        <v>46339</v>
      </c>
      <c r="E170" s="7">
        <f t="shared" si="38"/>
        <v>9</v>
      </c>
      <c r="F170" s="31">
        <f>E170*Dashboard!$I$3</f>
        <v>15102</v>
      </c>
      <c r="G170" s="18">
        <f>E153*Dashboard!$I$4</f>
        <v>15750</v>
      </c>
      <c r="H170" s="48"/>
      <c r="I170" s="7">
        <f t="shared" si="39"/>
        <v>9</v>
      </c>
      <c r="J170" s="31">
        <f>I170*Dashboard!$I$3</f>
        <v>15102</v>
      </c>
      <c r="K170" s="29">
        <f>I151*Dashboard!$I$4</f>
        <v>15750</v>
      </c>
      <c r="L170" s="48"/>
      <c r="M170" s="7">
        <f t="shared" si="40"/>
        <v>12</v>
      </c>
      <c r="N170" s="31">
        <f>M170*Dashboard!$I$3</f>
        <v>20136</v>
      </c>
      <c r="O170" s="18">
        <f>M149*Dashboard!$I$4</f>
        <v>21000</v>
      </c>
      <c r="P170" s="48"/>
      <c r="Q170" s="32">
        <f t="shared" si="29"/>
        <v>30</v>
      </c>
      <c r="R170" s="31">
        <f t="shared" si="30"/>
        <v>50340</v>
      </c>
      <c r="S170" s="31">
        <f t="shared" si="31"/>
        <v>52500</v>
      </c>
      <c r="T170" s="31">
        <f t="shared" si="32"/>
        <v>2160</v>
      </c>
      <c r="U170" s="31">
        <f>U169-R170+S170+V170-Custos!D170+Z169+AF169+AL169-AB169-AH169-AM169</f>
        <v>97523.40380950681</v>
      </c>
      <c r="V170" s="31">
        <f>U169*(((1+Dashboard!$C$17)^(1/30))-1)</f>
        <v>36.427077932077999</v>
      </c>
      <c r="W170" s="29">
        <f t="shared" si="33"/>
        <v>147863.4038095068</v>
      </c>
      <c r="X170" s="45">
        <f>-R170+S170-Custos!D170</f>
        <v>656.59999999999991</v>
      </c>
      <c r="Z170" s="83">
        <v>0</v>
      </c>
      <c r="AA170" s="33">
        <f>AC169*(((1+Dashboard!$C$20)^(1/30))-1)</f>
        <v>296.46484021190406</v>
      </c>
      <c r="AB170" s="84">
        <v>0</v>
      </c>
      <c r="AC170" s="18">
        <f t="shared" si="41"/>
        <v>647123.9794734423</v>
      </c>
      <c r="AD170" s="47">
        <f t="shared" si="34"/>
        <v>0</v>
      </c>
      <c r="AF170" s="83">
        <v>0</v>
      </c>
      <c r="AG170" s="33">
        <f>AI169*(((1+Dashboard!$C$21)^(1/30))-1)</f>
        <v>55.658057503311603</v>
      </c>
      <c r="AH170" s="84">
        <v>0</v>
      </c>
      <c r="AI170" s="29">
        <f t="shared" si="42"/>
        <v>108808.86416343642</v>
      </c>
      <c r="AJ170" s="45">
        <f t="shared" si="35"/>
        <v>0</v>
      </c>
      <c r="AL170" s="83">
        <v>0</v>
      </c>
      <c r="AM170" s="22">
        <v>0</v>
      </c>
      <c r="AN170" s="45">
        <f t="shared" si="36"/>
        <v>0</v>
      </c>
    </row>
    <row r="171" spans="2:40" x14ac:dyDescent="0.25">
      <c r="B171" s="53">
        <f>B170*(((1+Dashboard!$C$20)^(1/30)))</f>
        <v>1079034.300323992</v>
      </c>
      <c r="C171" s="1">
        <v>167</v>
      </c>
      <c r="D171" s="51">
        <f t="shared" si="37"/>
        <v>46340</v>
      </c>
      <c r="E171" s="7">
        <f t="shared" si="38"/>
        <v>9</v>
      </c>
      <c r="F171" s="31">
        <f>E171*Dashboard!$I$3</f>
        <v>15102</v>
      </c>
      <c r="G171" s="18">
        <f>E154*Dashboard!$I$4</f>
        <v>15750</v>
      </c>
      <c r="H171" s="48"/>
      <c r="I171" s="7">
        <f t="shared" si="39"/>
        <v>9</v>
      </c>
      <c r="J171" s="31">
        <f>I171*Dashboard!$I$3</f>
        <v>15102</v>
      </c>
      <c r="K171" s="29">
        <f>I152*Dashboard!$I$4</f>
        <v>15750</v>
      </c>
      <c r="L171" s="48"/>
      <c r="M171" s="7">
        <f t="shared" si="40"/>
        <v>12</v>
      </c>
      <c r="N171" s="31">
        <f>M171*Dashboard!$I$3</f>
        <v>20136</v>
      </c>
      <c r="O171" s="18">
        <f>M150*Dashboard!$I$4</f>
        <v>21000</v>
      </c>
      <c r="P171" s="48"/>
      <c r="Q171" s="32">
        <f t="shared" si="29"/>
        <v>30</v>
      </c>
      <c r="R171" s="31">
        <f t="shared" si="30"/>
        <v>50340</v>
      </c>
      <c r="S171" s="31">
        <f t="shared" si="31"/>
        <v>52500</v>
      </c>
      <c r="T171" s="31">
        <f t="shared" si="32"/>
        <v>2160</v>
      </c>
      <c r="U171" s="31">
        <f>U170-R171+S171+V171-Custos!D171+Z170+AF170+AL170-AB170-AH170-AM170</f>
        <v>98216.691600576945</v>
      </c>
      <c r="V171" s="31">
        <f>U170*(((1+Dashboard!$C$17)^(1/30))-1)</f>
        <v>36.687791070134402</v>
      </c>
      <c r="W171" s="29">
        <f t="shared" si="33"/>
        <v>148556.69160057695</v>
      </c>
      <c r="X171" s="45">
        <f>-R171+S171-Custos!D171</f>
        <v>656.59999999999991</v>
      </c>
      <c r="Z171" s="83">
        <v>0</v>
      </c>
      <c r="AA171" s="33">
        <f>AC170*(((1+Dashboard!$C$20)^(1/30))-1)</f>
        <v>296.60072095212223</v>
      </c>
      <c r="AB171" s="84">
        <v>0</v>
      </c>
      <c r="AC171" s="18">
        <f t="shared" si="41"/>
        <v>647420.58019439445</v>
      </c>
      <c r="AD171" s="47">
        <f t="shared" si="34"/>
        <v>0</v>
      </c>
      <c r="AF171" s="83">
        <v>0</v>
      </c>
      <c r="AG171" s="33">
        <f>AI170*(((1+Dashboard!$C$21)^(1/30))-1)</f>
        <v>55.686542358847952</v>
      </c>
      <c r="AH171" s="84">
        <v>0</v>
      </c>
      <c r="AI171" s="29">
        <f t="shared" si="42"/>
        <v>108864.55070579526</v>
      </c>
      <c r="AJ171" s="45">
        <f t="shared" si="35"/>
        <v>0</v>
      </c>
      <c r="AL171" s="83">
        <v>0</v>
      </c>
      <c r="AM171" s="22">
        <v>0</v>
      </c>
      <c r="AN171" s="45">
        <f t="shared" si="36"/>
        <v>0</v>
      </c>
    </row>
    <row r="172" spans="2:40" x14ac:dyDescent="0.25">
      <c r="B172" s="53">
        <f>B171*(((1+Dashboard!$C$20)^(1/30)))</f>
        <v>1079528.8614306112</v>
      </c>
      <c r="C172" s="1">
        <v>168</v>
      </c>
      <c r="D172" s="51">
        <f t="shared" si="37"/>
        <v>46341</v>
      </c>
      <c r="E172" s="7">
        <f t="shared" si="38"/>
        <v>9</v>
      </c>
      <c r="F172" s="31">
        <f>E172*Dashboard!$I$3</f>
        <v>15102</v>
      </c>
      <c r="G172" s="18">
        <f>E155*Dashboard!$I$4</f>
        <v>15750</v>
      </c>
      <c r="H172" s="48"/>
      <c r="I172" s="7">
        <f t="shared" si="39"/>
        <v>9</v>
      </c>
      <c r="J172" s="31">
        <f>I172*Dashboard!$I$3</f>
        <v>15102</v>
      </c>
      <c r="K172" s="29">
        <f>I153*Dashboard!$I$4</f>
        <v>15750</v>
      </c>
      <c r="L172" s="48"/>
      <c r="M172" s="7">
        <f t="shared" si="40"/>
        <v>12</v>
      </c>
      <c r="N172" s="31">
        <f>M172*Dashboard!$I$3</f>
        <v>20136</v>
      </c>
      <c r="O172" s="18">
        <f>M151*Dashboard!$I$4</f>
        <v>21000</v>
      </c>
      <c r="P172" s="48"/>
      <c r="Q172" s="32">
        <f t="shared" si="29"/>
        <v>30</v>
      </c>
      <c r="R172" s="31">
        <f t="shared" si="30"/>
        <v>50340</v>
      </c>
      <c r="S172" s="31">
        <f t="shared" si="31"/>
        <v>52500</v>
      </c>
      <c r="T172" s="31">
        <f t="shared" si="32"/>
        <v>2160</v>
      </c>
      <c r="U172" s="31">
        <f>U171-R172+S172+V172-Custos!D172+Z171+AF171+AL171-AB171-AH171-AM171</f>
        <v>98910.24020286405</v>
      </c>
      <c r="V172" s="31">
        <f>U171*(((1+Dashboard!$C$17)^(1/30))-1)</f>
        <v>36.948602287100726</v>
      </c>
      <c r="W172" s="29">
        <f t="shared" si="33"/>
        <v>149250.24020286405</v>
      </c>
      <c r="X172" s="45">
        <f>-R172+S172-Custos!D172</f>
        <v>656.59999999999991</v>
      </c>
      <c r="Z172" s="83">
        <v>0</v>
      </c>
      <c r="AA172" s="33">
        <f>AC171*(((1+Dashboard!$C$20)^(1/30))-1)</f>
        <v>296.73666397148139</v>
      </c>
      <c r="AB172" s="84">
        <v>0</v>
      </c>
      <c r="AC172" s="18">
        <f t="shared" si="41"/>
        <v>647717.3168583659</v>
      </c>
      <c r="AD172" s="47">
        <f t="shared" si="34"/>
        <v>0</v>
      </c>
      <c r="AF172" s="83">
        <v>0</v>
      </c>
      <c r="AG172" s="33">
        <f>AI171*(((1+Dashboard!$C$21)^(1/30))-1)</f>
        <v>55.715041792453157</v>
      </c>
      <c r="AH172" s="84">
        <v>0</v>
      </c>
      <c r="AI172" s="29">
        <f t="shared" si="42"/>
        <v>108920.26574758772</v>
      </c>
      <c r="AJ172" s="45">
        <f t="shared" si="35"/>
        <v>0</v>
      </c>
      <c r="AL172" s="83">
        <v>0</v>
      </c>
      <c r="AM172" s="22">
        <v>0</v>
      </c>
      <c r="AN172" s="45">
        <f t="shared" si="36"/>
        <v>0</v>
      </c>
    </row>
    <row r="173" spans="2:40" x14ac:dyDescent="0.25">
      <c r="B173" s="53">
        <f>B172*(((1+Dashboard!$C$20)^(1/30)))</f>
        <v>1080023.6492127755</v>
      </c>
      <c r="C173" s="1">
        <v>169</v>
      </c>
      <c r="D173" s="51">
        <f t="shared" si="37"/>
        <v>46342</v>
      </c>
      <c r="E173" s="7">
        <f t="shared" si="38"/>
        <v>9</v>
      </c>
      <c r="F173" s="31">
        <f>E173*Dashboard!$I$3</f>
        <v>15102</v>
      </c>
      <c r="G173" s="18">
        <f>E156*Dashboard!$I$4</f>
        <v>15750</v>
      </c>
      <c r="H173" s="48"/>
      <c r="I173" s="7">
        <f t="shared" si="39"/>
        <v>9</v>
      </c>
      <c r="J173" s="31">
        <f>I173*Dashboard!$I$3</f>
        <v>15102</v>
      </c>
      <c r="K173" s="29">
        <f>I154*Dashboard!$I$4</f>
        <v>15750</v>
      </c>
      <c r="L173" s="48"/>
      <c r="M173" s="7">
        <f t="shared" si="40"/>
        <v>12</v>
      </c>
      <c r="N173" s="31">
        <f>M173*Dashboard!$I$3</f>
        <v>20136</v>
      </c>
      <c r="O173" s="18">
        <f>M152*Dashboard!$I$4</f>
        <v>21000</v>
      </c>
      <c r="P173" s="48"/>
      <c r="Q173" s="32">
        <f t="shared" si="29"/>
        <v>30</v>
      </c>
      <c r="R173" s="31">
        <f t="shared" si="30"/>
        <v>50340</v>
      </c>
      <c r="S173" s="31">
        <f t="shared" si="31"/>
        <v>52500</v>
      </c>
      <c r="T173" s="31">
        <f t="shared" si="32"/>
        <v>2160</v>
      </c>
      <c r="U173" s="31">
        <f>U172-R173+S173+V173-Custos!D173+Z172+AF172+AL172-AB172-AH172-AM172</f>
        <v>99604.049714483932</v>
      </c>
      <c r="V173" s="31">
        <f>U172*(((1+Dashboard!$C$17)^(1/30))-1)</f>
        <v>37.209511619873759</v>
      </c>
      <c r="W173" s="29">
        <f t="shared" si="33"/>
        <v>149944.04971448393</v>
      </c>
      <c r="X173" s="45">
        <f>-R173+S173-Custos!D173</f>
        <v>656.59999999999991</v>
      </c>
      <c r="Z173" s="83">
        <v>0</v>
      </c>
      <c r="AA173" s="33">
        <f>AC172*(((1+Dashboard!$C$20)^(1/30))-1)</f>
        <v>296.87266929852626</v>
      </c>
      <c r="AB173" s="84">
        <v>0</v>
      </c>
      <c r="AC173" s="18">
        <f t="shared" si="41"/>
        <v>648014.18952766445</v>
      </c>
      <c r="AD173" s="47">
        <f t="shared" si="34"/>
        <v>0</v>
      </c>
      <c r="AF173" s="83">
        <v>0</v>
      </c>
      <c r="AG173" s="33">
        <f>AI172*(((1+Dashboard!$C$21)^(1/30))-1)</f>
        <v>55.743555811588031</v>
      </c>
      <c r="AH173" s="84">
        <v>0</v>
      </c>
      <c r="AI173" s="29">
        <f t="shared" si="42"/>
        <v>108976.0093033993</v>
      </c>
      <c r="AJ173" s="45">
        <f t="shared" si="35"/>
        <v>0</v>
      </c>
      <c r="AL173" s="83">
        <v>0</v>
      </c>
      <c r="AM173" s="22">
        <v>0</v>
      </c>
      <c r="AN173" s="45">
        <f t="shared" si="36"/>
        <v>0</v>
      </c>
    </row>
    <row r="174" spans="2:40" x14ac:dyDescent="0.25">
      <c r="B174" s="53">
        <f>B173*(((1+Dashboard!$C$20)^(1/30)))</f>
        <v>1080518.6637743786</v>
      </c>
      <c r="C174" s="1">
        <v>170</v>
      </c>
      <c r="D174" s="51">
        <f t="shared" si="37"/>
        <v>46343</v>
      </c>
      <c r="E174" s="7">
        <f t="shared" si="38"/>
        <v>9</v>
      </c>
      <c r="F174" s="31">
        <f>E174*Dashboard!$I$3</f>
        <v>15102</v>
      </c>
      <c r="G174" s="18">
        <f>E157*Dashboard!$I$4</f>
        <v>15750</v>
      </c>
      <c r="H174" s="48"/>
      <c r="I174" s="7">
        <f t="shared" si="39"/>
        <v>9</v>
      </c>
      <c r="J174" s="31">
        <f>I174*Dashboard!$I$3</f>
        <v>15102</v>
      </c>
      <c r="K174" s="29">
        <f>I155*Dashboard!$I$4</f>
        <v>15750</v>
      </c>
      <c r="L174" s="48"/>
      <c r="M174" s="7">
        <f t="shared" si="40"/>
        <v>12</v>
      </c>
      <c r="N174" s="31">
        <f>M174*Dashboard!$I$3</f>
        <v>20136</v>
      </c>
      <c r="O174" s="18">
        <f>M153*Dashboard!$I$4</f>
        <v>21000</v>
      </c>
      <c r="P174" s="48"/>
      <c r="Q174" s="32">
        <f t="shared" si="29"/>
        <v>30</v>
      </c>
      <c r="R174" s="31">
        <f t="shared" si="30"/>
        <v>50340</v>
      </c>
      <c r="S174" s="31">
        <f t="shared" si="31"/>
        <v>52500</v>
      </c>
      <c r="T174" s="31">
        <f t="shared" si="32"/>
        <v>2160</v>
      </c>
      <c r="U174" s="31">
        <f>U173-R174+S174+V174-Custos!D174+Z173+AF173+AL173-AB173-AH173-AM173</f>
        <v>100298.1202335893</v>
      </c>
      <c r="V174" s="31">
        <f>U173*(((1+Dashboard!$C$17)^(1/30))-1)</f>
        <v>37.470519105364133</v>
      </c>
      <c r="W174" s="29">
        <f t="shared" si="33"/>
        <v>150638.12023358932</v>
      </c>
      <c r="X174" s="45">
        <f>-R174+S174-Custos!D174</f>
        <v>656.59999999999991</v>
      </c>
      <c r="Z174" s="83">
        <v>0</v>
      </c>
      <c r="AA174" s="33">
        <f>AC173*(((1+Dashboard!$C$20)^(1/30))-1)</f>
        <v>297.0087369618148</v>
      </c>
      <c r="AB174" s="84">
        <v>0</v>
      </c>
      <c r="AC174" s="18">
        <f t="shared" si="41"/>
        <v>648311.19826462632</v>
      </c>
      <c r="AD174" s="47">
        <f t="shared" si="34"/>
        <v>0</v>
      </c>
      <c r="AF174" s="83">
        <v>0</v>
      </c>
      <c r="AG174" s="33">
        <f>AI173*(((1+Dashboard!$C$21)^(1/30))-1)</f>
        <v>55.772084423717203</v>
      </c>
      <c r="AH174" s="84">
        <v>0</v>
      </c>
      <c r="AI174" s="29">
        <f t="shared" si="42"/>
        <v>109031.78138782302</v>
      </c>
      <c r="AJ174" s="45">
        <f t="shared" si="35"/>
        <v>0</v>
      </c>
      <c r="AL174" s="83">
        <v>0</v>
      </c>
      <c r="AM174" s="22">
        <v>0</v>
      </c>
      <c r="AN174" s="45">
        <f t="shared" si="36"/>
        <v>0</v>
      </c>
    </row>
    <row r="175" spans="2:40" x14ac:dyDescent="0.25">
      <c r="B175" s="53">
        <f>B174*(((1+Dashboard!$C$20)^(1/30)))</f>
        <v>1081013.9052193619</v>
      </c>
      <c r="C175" s="1">
        <v>171</v>
      </c>
      <c r="D175" s="51">
        <f t="shared" si="37"/>
        <v>46344</v>
      </c>
      <c r="E175" s="7">
        <f t="shared" si="38"/>
        <v>9</v>
      </c>
      <c r="F175" s="31">
        <f>E175*Dashboard!$I$3</f>
        <v>15102</v>
      </c>
      <c r="G175" s="18">
        <f>E158*Dashboard!$I$4</f>
        <v>15750</v>
      </c>
      <c r="H175" s="48"/>
      <c r="I175" s="7">
        <f t="shared" si="39"/>
        <v>9</v>
      </c>
      <c r="J175" s="31">
        <f>I175*Dashboard!$I$3</f>
        <v>15102</v>
      </c>
      <c r="K175" s="29">
        <f>I156*Dashboard!$I$4</f>
        <v>15750</v>
      </c>
      <c r="L175" s="48"/>
      <c r="M175" s="7">
        <f t="shared" si="40"/>
        <v>12</v>
      </c>
      <c r="N175" s="31">
        <f>M175*Dashboard!$I$3</f>
        <v>20136</v>
      </c>
      <c r="O175" s="18">
        <f>M154*Dashboard!$I$4</f>
        <v>21000</v>
      </c>
      <c r="P175" s="48"/>
      <c r="Q175" s="32">
        <f t="shared" si="29"/>
        <v>30</v>
      </c>
      <c r="R175" s="31">
        <f t="shared" si="30"/>
        <v>50340</v>
      </c>
      <c r="S175" s="31">
        <f t="shared" si="31"/>
        <v>52500</v>
      </c>
      <c r="T175" s="31">
        <f t="shared" si="32"/>
        <v>2160</v>
      </c>
      <c r="U175" s="31">
        <f>U174-R175+S175+V175-Custos!D175+Z174+AF174+AL174-AB174-AH174-AM174</f>
        <v>100992.45185836981</v>
      </c>
      <c r="V175" s="31">
        <f>U174*(((1+Dashboard!$C$17)^(1/30))-1)</f>
        <v>37.731624780496396</v>
      </c>
      <c r="W175" s="29">
        <f t="shared" si="33"/>
        <v>151332.45185836981</v>
      </c>
      <c r="X175" s="45">
        <f>-R175+S175-Custos!D175</f>
        <v>656.59999999999991</v>
      </c>
      <c r="Z175" s="83">
        <v>0</v>
      </c>
      <c r="AA175" s="33">
        <f>AC174*(((1+Dashboard!$C$20)^(1/30))-1)</f>
        <v>297.144866989918</v>
      </c>
      <c r="AB175" s="84">
        <v>0</v>
      </c>
      <c r="AC175" s="18">
        <f t="shared" si="41"/>
        <v>648608.34313161625</v>
      </c>
      <c r="AD175" s="47">
        <f t="shared" si="34"/>
        <v>0</v>
      </c>
      <c r="AF175" s="83">
        <v>0</v>
      </c>
      <c r="AG175" s="33">
        <f>AI174*(((1+Dashboard!$C$21)^(1/30))-1)</f>
        <v>55.80062763630913</v>
      </c>
      <c r="AH175" s="84">
        <v>0</v>
      </c>
      <c r="AI175" s="29">
        <f t="shared" si="42"/>
        <v>109087.58201545934</v>
      </c>
      <c r="AJ175" s="45">
        <f t="shared" si="35"/>
        <v>0</v>
      </c>
      <c r="AL175" s="83">
        <v>0</v>
      </c>
      <c r="AM175" s="22">
        <v>0</v>
      </c>
      <c r="AN175" s="45">
        <f t="shared" si="36"/>
        <v>0</v>
      </c>
    </row>
    <row r="176" spans="2:40" x14ac:dyDescent="0.25">
      <c r="B176" s="53">
        <f>B175*(((1+Dashboard!$C$20)^(1/30)))</f>
        <v>1081509.3736517143</v>
      </c>
      <c r="C176" s="1">
        <v>172</v>
      </c>
      <c r="D176" s="51">
        <f t="shared" si="37"/>
        <v>46345</v>
      </c>
      <c r="E176" s="7">
        <f t="shared" si="38"/>
        <v>9</v>
      </c>
      <c r="F176" s="31">
        <f>E176*Dashboard!$I$3</f>
        <v>15102</v>
      </c>
      <c r="G176" s="18">
        <f>E159*Dashboard!$I$4</f>
        <v>15750</v>
      </c>
      <c r="H176" s="48"/>
      <c r="I176" s="7">
        <f t="shared" si="39"/>
        <v>9</v>
      </c>
      <c r="J176" s="31">
        <f>I176*Dashboard!$I$3</f>
        <v>15102</v>
      </c>
      <c r="K176" s="29">
        <f>I157*Dashboard!$I$4</f>
        <v>15750</v>
      </c>
      <c r="L176" s="48"/>
      <c r="M176" s="7">
        <f t="shared" si="40"/>
        <v>12</v>
      </c>
      <c r="N176" s="31">
        <f>M176*Dashboard!$I$3</f>
        <v>20136</v>
      </c>
      <c r="O176" s="18">
        <f>M155*Dashboard!$I$4</f>
        <v>21000</v>
      </c>
      <c r="P176" s="48"/>
      <c r="Q176" s="32">
        <f t="shared" si="29"/>
        <v>30</v>
      </c>
      <c r="R176" s="31">
        <f t="shared" si="30"/>
        <v>50340</v>
      </c>
      <c r="S176" s="31">
        <f t="shared" si="31"/>
        <v>52500</v>
      </c>
      <c r="T176" s="31">
        <f t="shared" si="32"/>
        <v>2160</v>
      </c>
      <c r="U176" s="31">
        <f>U175-R176+S176+V176-Custos!D176+Z175+AF175+AL175-AB175-AH175-AM175</f>
        <v>101687.04468705202</v>
      </c>
      <c r="V176" s="31">
        <f>U175*(((1+Dashboard!$C$17)^(1/30))-1)</f>
        <v>37.992828682208973</v>
      </c>
      <c r="W176" s="29">
        <f t="shared" si="33"/>
        <v>152027.04468705202</v>
      </c>
      <c r="X176" s="45">
        <f>-R176+S176-Custos!D176</f>
        <v>656.59999999999991</v>
      </c>
      <c r="Z176" s="83">
        <v>0</v>
      </c>
      <c r="AA176" s="33">
        <f>AC175*(((1+Dashboard!$C$20)^(1/30))-1)</f>
        <v>297.2810594114199</v>
      </c>
      <c r="AB176" s="84">
        <v>0</v>
      </c>
      <c r="AC176" s="18">
        <f t="shared" si="41"/>
        <v>648905.62419102772</v>
      </c>
      <c r="AD176" s="47">
        <f t="shared" si="34"/>
        <v>0</v>
      </c>
      <c r="AF176" s="83">
        <v>0</v>
      </c>
      <c r="AG176" s="33">
        <f>AI175*(((1+Dashboard!$C$21)^(1/30))-1)</f>
        <v>55.829185456836072</v>
      </c>
      <c r="AH176" s="84">
        <v>0</v>
      </c>
      <c r="AI176" s="29">
        <f t="shared" si="42"/>
        <v>109143.41120091618</v>
      </c>
      <c r="AJ176" s="45">
        <f t="shared" si="35"/>
        <v>0</v>
      </c>
      <c r="AL176" s="83">
        <v>0</v>
      </c>
      <c r="AM176" s="22">
        <v>0</v>
      </c>
      <c r="AN176" s="45">
        <f t="shared" si="36"/>
        <v>0</v>
      </c>
    </row>
    <row r="177" spans="2:40" x14ac:dyDescent="0.25">
      <c r="B177" s="53">
        <f>B176*(((1+Dashboard!$C$20)^(1/30)))</f>
        <v>1082005.0691754725</v>
      </c>
      <c r="C177" s="1">
        <v>173</v>
      </c>
      <c r="D177" s="51">
        <f t="shared" si="37"/>
        <v>46346</v>
      </c>
      <c r="E177" s="7">
        <f t="shared" si="38"/>
        <v>9</v>
      </c>
      <c r="F177" s="31">
        <f>E177*Dashboard!$I$3</f>
        <v>15102</v>
      </c>
      <c r="G177" s="18">
        <f>E160*Dashboard!$I$4</f>
        <v>15750</v>
      </c>
      <c r="H177" s="48"/>
      <c r="I177" s="7">
        <f t="shared" si="39"/>
        <v>9</v>
      </c>
      <c r="J177" s="31">
        <f>I177*Dashboard!$I$3</f>
        <v>15102</v>
      </c>
      <c r="K177" s="29">
        <f>I158*Dashboard!$I$4</f>
        <v>15750</v>
      </c>
      <c r="L177" s="48"/>
      <c r="M177" s="7">
        <f t="shared" si="40"/>
        <v>12</v>
      </c>
      <c r="N177" s="31">
        <f>M177*Dashboard!$I$3</f>
        <v>20136</v>
      </c>
      <c r="O177" s="18">
        <f>M156*Dashboard!$I$4</f>
        <v>21000</v>
      </c>
      <c r="P177" s="48"/>
      <c r="Q177" s="32">
        <f t="shared" si="29"/>
        <v>30</v>
      </c>
      <c r="R177" s="31">
        <f t="shared" si="30"/>
        <v>50340</v>
      </c>
      <c r="S177" s="31">
        <f t="shared" si="31"/>
        <v>52500</v>
      </c>
      <c r="T177" s="31">
        <f t="shared" si="32"/>
        <v>2160</v>
      </c>
      <c r="U177" s="31">
        <f>U176-R177+S177+V177-Custos!D177+Z176+AF176+AL176-AB176-AH176-AM176</f>
        <v>102381.89881789949</v>
      </c>
      <c r="V177" s="31">
        <f>U176*(((1+Dashboard!$C$17)^(1/30))-1)</f>
        <v>38.254130847454178</v>
      </c>
      <c r="W177" s="29">
        <f t="shared" si="33"/>
        <v>152721.89881789949</v>
      </c>
      <c r="X177" s="45">
        <f>-R177+S177-Custos!D177</f>
        <v>656.59999999999991</v>
      </c>
      <c r="Z177" s="83">
        <v>0</v>
      </c>
      <c r="AA177" s="33">
        <f>AC176*(((1+Dashboard!$C$20)^(1/30))-1)</f>
        <v>297.41731425491776</v>
      </c>
      <c r="AB177" s="84">
        <v>0</v>
      </c>
      <c r="AC177" s="18">
        <f t="shared" si="41"/>
        <v>649203.04150528263</v>
      </c>
      <c r="AD177" s="47">
        <f t="shared" si="34"/>
        <v>0</v>
      </c>
      <c r="AF177" s="83">
        <v>0</v>
      </c>
      <c r="AG177" s="33">
        <f>AI176*(((1+Dashboard!$C$21)^(1/30))-1)</f>
        <v>55.857757892774124</v>
      </c>
      <c r="AH177" s="84">
        <v>0</v>
      </c>
      <c r="AI177" s="29">
        <f t="shared" si="42"/>
        <v>109199.26895880896</v>
      </c>
      <c r="AJ177" s="45">
        <f t="shared" si="35"/>
        <v>0</v>
      </c>
      <c r="AL177" s="83">
        <v>0</v>
      </c>
      <c r="AM177" s="22">
        <v>0</v>
      </c>
      <c r="AN177" s="45">
        <f t="shared" si="36"/>
        <v>0</v>
      </c>
    </row>
    <row r="178" spans="2:40" x14ac:dyDescent="0.25">
      <c r="B178" s="53">
        <f>B177*(((1+Dashboard!$C$20)^(1/30)))</f>
        <v>1082500.9918947208</v>
      </c>
      <c r="C178" s="1">
        <v>174</v>
      </c>
      <c r="D178" s="51">
        <f t="shared" si="37"/>
        <v>46347</v>
      </c>
      <c r="E178" s="7">
        <f t="shared" si="38"/>
        <v>9</v>
      </c>
      <c r="F178" s="31">
        <f>E178*Dashboard!$I$3</f>
        <v>15102</v>
      </c>
      <c r="G178" s="18">
        <f>E161*Dashboard!$I$4</f>
        <v>15750</v>
      </c>
      <c r="H178" s="48"/>
      <c r="I178" s="7">
        <f t="shared" si="39"/>
        <v>9</v>
      </c>
      <c r="J178" s="31">
        <f>I178*Dashboard!$I$3</f>
        <v>15102</v>
      </c>
      <c r="K178" s="29">
        <f>I159*Dashboard!$I$4</f>
        <v>15750</v>
      </c>
      <c r="L178" s="48"/>
      <c r="M178" s="7">
        <f t="shared" si="40"/>
        <v>12</v>
      </c>
      <c r="N178" s="31">
        <f>M178*Dashboard!$I$3</f>
        <v>20136</v>
      </c>
      <c r="O178" s="18">
        <f>M157*Dashboard!$I$4</f>
        <v>21000</v>
      </c>
      <c r="P178" s="48"/>
      <c r="Q178" s="32">
        <f t="shared" si="29"/>
        <v>30</v>
      </c>
      <c r="R178" s="31">
        <f t="shared" si="30"/>
        <v>50340</v>
      </c>
      <c r="S178" s="31">
        <f t="shared" si="31"/>
        <v>52500</v>
      </c>
      <c r="T178" s="31">
        <f t="shared" si="32"/>
        <v>2160</v>
      </c>
      <c r="U178" s="31">
        <f>U177-R178+S178+V178-Custos!D178+Z177+AF177+AL177-AB177-AH177-AM177</f>
        <v>103077.0143492127</v>
      </c>
      <c r="V178" s="31">
        <f>U177*(((1+Dashboard!$C$17)^(1/30))-1)</f>
        <v>38.515531313198245</v>
      </c>
      <c r="W178" s="29">
        <f t="shared" si="33"/>
        <v>153417.0143492127</v>
      </c>
      <c r="X178" s="45">
        <f>-R178+S178-Custos!D178</f>
        <v>656.59999999999991</v>
      </c>
      <c r="Z178" s="83">
        <v>0</v>
      </c>
      <c r="AA178" s="33">
        <f>AC177*(((1+Dashboard!$C$20)^(1/30))-1)</f>
        <v>297.55363154902176</v>
      </c>
      <c r="AB178" s="84">
        <v>0</v>
      </c>
      <c r="AC178" s="18">
        <f t="shared" si="41"/>
        <v>649500.59513683163</v>
      </c>
      <c r="AD178" s="47">
        <f t="shared" si="34"/>
        <v>0</v>
      </c>
      <c r="AF178" s="83">
        <v>0</v>
      </c>
      <c r="AG178" s="33">
        <f>AI177*(((1+Dashboard!$C$21)^(1/30))-1)</f>
        <v>55.886344951603213</v>
      </c>
      <c r="AH178" s="84">
        <v>0</v>
      </c>
      <c r="AI178" s="29">
        <f t="shared" si="42"/>
        <v>109255.15530376056</v>
      </c>
      <c r="AJ178" s="45">
        <f t="shared" si="35"/>
        <v>0</v>
      </c>
      <c r="AL178" s="83">
        <v>0</v>
      </c>
      <c r="AM178" s="22">
        <v>0</v>
      </c>
      <c r="AN178" s="45">
        <f t="shared" si="36"/>
        <v>0</v>
      </c>
    </row>
    <row r="179" spans="2:40" x14ac:dyDescent="0.25">
      <c r="B179" s="53">
        <f>B178*(((1+Dashboard!$C$20)^(1/30)))</f>
        <v>1082997.1419135914</v>
      </c>
      <c r="C179" s="1">
        <v>175</v>
      </c>
      <c r="D179" s="51">
        <f t="shared" si="37"/>
        <v>46348</v>
      </c>
      <c r="E179" s="7">
        <f t="shared" si="38"/>
        <v>9</v>
      </c>
      <c r="F179" s="31">
        <f>E179*Dashboard!$I$3</f>
        <v>15102</v>
      </c>
      <c r="G179" s="18">
        <f>E162*Dashboard!$I$4</f>
        <v>15750</v>
      </c>
      <c r="H179" s="48"/>
      <c r="I179" s="7">
        <f t="shared" si="39"/>
        <v>9</v>
      </c>
      <c r="J179" s="31">
        <f>I179*Dashboard!$I$3</f>
        <v>15102</v>
      </c>
      <c r="K179" s="29">
        <f>I160*Dashboard!$I$4</f>
        <v>15750</v>
      </c>
      <c r="L179" s="48"/>
      <c r="M179" s="7">
        <f t="shared" si="40"/>
        <v>12</v>
      </c>
      <c r="N179" s="31">
        <f>M179*Dashboard!$I$3</f>
        <v>20136</v>
      </c>
      <c r="O179" s="18">
        <f>M158*Dashboard!$I$4</f>
        <v>21000</v>
      </c>
      <c r="P179" s="48"/>
      <c r="Q179" s="32">
        <f t="shared" si="29"/>
        <v>30</v>
      </c>
      <c r="R179" s="31">
        <f t="shared" si="30"/>
        <v>50340</v>
      </c>
      <c r="S179" s="31">
        <f t="shared" si="31"/>
        <v>52500</v>
      </c>
      <c r="T179" s="31">
        <f t="shared" si="32"/>
        <v>2160</v>
      </c>
      <c r="U179" s="31">
        <f>U178-R179+S179+V179-Custos!D179+Z178+AF178+AL178-AB178-AH178-AM178</f>
        <v>103772.39137932913</v>
      </c>
      <c r="V179" s="31">
        <f>U178*(((1+Dashboard!$C$17)^(1/30))-1)</f>
        <v>38.777030116421294</v>
      </c>
      <c r="W179" s="29">
        <f t="shared" si="33"/>
        <v>154112.39137932914</v>
      </c>
      <c r="X179" s="45">
        <f>-R179+S179-Custos!D179</f>
        <v>656.59999999999991</v>
      </c>
      <c r="Z179" s="83">
        <v>0</v>
      </c>
      <c r="AA179" s="33">
        <f>AC178*(((1+Dashboard!$C$20)^(1/30))-1)</f>
        <v>297.69001132235542</v>
      </c>
      <c r="AB179" s="84">
        <v>0</v>
      </c>
      <c r="AC179" s="18">
        <f t="shared" si="41"/>
        <v>649798.28514815401</v>
      </c>
      <c r="AD179" s="47">
        <f t="shared" si="34"/>
        <v>0</v>
      </c>
      <c r="AF179" s="83">
        <v>0</v>
      </c>
      <c r="AG179" s="33">
        <f>AI178*(((1+Dashboard!$C$21)^(1/30))-1)</f>
        <v>55.914946640807088</v>
      </c>
      <c r="AH179" s="84">
        <v>0</v>
      </c>
      <c r="AI179" s="29">
        <f t="shared" si="42"/>
        <v>109311.07025040138</v>
      </c>
      <c r="AJ179" s="45">
        <f t="shared" si="35"/>
        <v>0</v>
      </c>
      <c r="AL179" s="83">
        <v>0</v>
      </c>
      <c r="AM179" s="22">
        <v>0</v>
      </c>
      <c r="AN179" s="45">
        <f t="shared" si="36"/>
        <v>0</v>
      </c>
    </row>
    <row r="180" spans="2:40" x14ac:dyDescent="0.25">
      <c r="B180" s="53">
        <f>B179*(((1+Dashboard!$C$20)^(1/30)))</f>
        <v>1083493.5193362641</v>
      </c>
      <c r="C180" s="1">
        <v>176</v>
      </c>
      <c r="D180" s="51">
        <f t="shared" si="37"/>
        <v>46349</v>
      </c>
      <c r="E180" s="7">
        <f t="shared" si="38"/>
        <v>9</v>
      </c>
      <c r="F180" s="31">
        <f>E180*Dashboard!$I$3</f>
        <v>15102</v>
      </c>
      <c r="G180" s="18">
        <f>E163*Dashboard!$I$4</f>
        <v>15750</v>
      </c>
      <c r="H180" s="48"/>
      <c r="I180" s="7">
        <f t="shared" si="39"/>
        <v>9</v>
      </c>
      <c r="J180" s="31">
        <f>I180*Dashboard!$I$3</f>
        <v>15102</v>
      </c>
      <c r="K180" s="29">
        <f>I161*Dashboard!$I$4</f>
        <v>15750</v>
      </c>
      <c r="L180" s="48"/>
      <c r="M180" s="7">
        <f t="shared" si="40"/>
        <v>12</v>
      </c>
      <c r="N180" s="31">
        <f>M180*Dashboard!$I$3</f>
        <v>20136</v>
      </c>
      <c r="O180" s="18">
        <f>M159*Dashboard!$I$4</f>
        <v>21000</v>
      </c>
      <c r="P180" s="48"/>
      <c r="Q180" s="32">
        <f t="shared" si="29"/>
        <v>30</v>
      </c>
      <c r="R180" s="31">
        <f t="shared" si="30"/>
        <v>50340</v>
      </c>
      <c r="S180" s="31">
        <f t="shared" si="31"/>
        <v>52500</v>
      </c>
      <c r="T180" s="31">
        <f t="shared" si="32"/>
        <v>2160</v>
      </c>
      <c r="U180" s="31">
        <f>U179-R180+S180+V180-Custos!D180+Z179+AF179+AL179-AB179-AH179-AM179</f>
        <v>104468.03000662324</v>
      </c>
      <c r="V180" s="31">
        <f>U179*(((1+Dashboard!$C$17)^(1/30))-1)</f>
        <v>39.038627294117376</v>
      </c>
      <c r="W180" s="29">
        <f t="shared" si="33"/>
        <v>154808.03000662324</v>
      </c>
      <c r="X180" s="45">
        <f>-R180+S180-Custos!D180</f>
        <v>656.59999999999991</v>
      </c>
      <c r="Z180" s="83">
        <v>0</v>
      </c>
      <c r="AA180" s="33">
        <f>AC179*(((1+Dashboard!$C$20)^(1/30))-1)</f>
        <v>297.82645360355525</v>
      </c>
      <c r="AB180" s="84">
        <v>0</v>
      </c>
      <c r="AC180" s="18">
        <f t="shared" si="41"/>
        <v>650096.11160175758</v>
      </c>
      <c r="AD180" s="47">
        <f t="shared" si="34"/>
        <v>0</v>
      </c>
      <c r="AF180" s="83">
        <v>0</v>
      </c>
      <c r="AG180" s="33">
        <f>AI179*(((1+Dashboard!$C$21)^(1/30))-1)</f>
        <v>55.943562967873319</v>
      </c>
      <c r="AH180" s="84">
        <v>0</v>
      </c>
      <c r="AI180" s="29">
        <f t="shared" si="42"/>
        <v>109367.01381336925</v>
      </c>
      <c r="AJ180" s="45">
        <f t="shared" si="35"/>
        <v>0</v>
      </c>
      <c r="AL180" s="83">
        <v>0</v>
      </c>
      <c r="AM180" s="22">
        <v>0</v>
      </c>
      <c r="AN180" s="45">
        <f t="shared" si="36"/>
        <v>0</v>
      </c>
    </row>
    <row r="181" spans="2:40" x14ac:dyDescent="0.25">
      <c r="B181" s="53">
        <f>B180*(((1+Dashboard!$C$20)^(1/30)))</f>
        <v>1083990.1242669662</v>
      </c>
      <c r="C181" s="1">
        <v>177</v>
      </c>
      <c r="D181" s="51">
        <f t="shared" si="37"/>
        <v>46350</v>
      </c>
      <c r="E181" s="7">
        <f t="shared" si="38"/>
        <v>9</v>
      </c>
      <c r="F181" s="31">
        <f>E181*Dashboard!$I$3</f>
        <v>15102</v>
      </c>
      <c r="G181" s="18">
        <f>E164*Dashboard!$I$4</f>
        <v>15750</v>
      </c>
      <c r="H181" s="48"/>
      <c r="I181" s="7">
        <f t="shared" si="39"/>
        <v>9</v>
      </c>
      <c r="J181" s="31">
        <f>I181*Dashboard!$I$3</f>
        <v>15102</v>
      </c>
      <c r="K181" s="29">
        <f>I162*Dashboard!$I$4</f>
        <v>15750</v>
      </c>
      <c r="L181" s="48"/>
      <c r="M181" s="7">
        <f t="shared" si="40"/>
        <v>12</v>
      </c>
      <c r="N181" s="31">
        <f>M181*Dashboard!$I$3</f>
        <v>20136</v>
      </c>
      <c r="O181" s="18">
        <f>M160*Dashboard!$I$4</f>
        <v>21000</v>
      </c>
      <c r="P181" s="48"/>
      <c r="Q181" s="32">
        <f t="shared" si="29"/>
        <v>30</v>
      </c>
      <c r="R181" s="31">
        <f t="shared" si="30"/>
        <v>50340</v>
      </c>
      <c r="S181" s="31">
        <f t="shared" si="31"/>
        <v>52500</v>
      </c>
      <c r="T181" s="31">
        <f t="shared" si="32"/>
        <v>2160</v>
      </c>
      <c r="U181" s="31">
        <f>U180-R181+S181+V181-Custos!D181+Z180+AF180+AL180-AB180-AH180-AM180</f>
        <v>105163.93032950655</v>
      </c>
      <c r="V181" s="31">
        <f>U180*(((1+Dashboard!$C$17)^(1/30))-1)</f>
        <v>39.300322883294442</v>
      </c>
      <c r="W181" s="29">
        <f t="shared" si="33"/>
        <v>155503.93032950655</v>
      </c>
      <c r="X181" s="45">
        <f>-R181+S181-Custos!D181</f>
        <v>656.59999999999991</v>
      </c>
      <c r="Z181" s="83">
        <v>0</v>
      </c>
      <c r="AA181" s="33">
        <f>AC180*(((1+Dashboard!$C$20)^(1/30))-1)</f>
        <v>297.96295842127086</v>
      </c>
      <c r="AB181" s="84">
        <v>0</v>
      </c>
      <c r="AC181" s="18">
        <f t="shared" si="41"/>
        <v>650394.07456017891</v>
      </c>
      <c r="AD181" s="47">
        <f t="shared" si="34"/>
        <v>0</v>
      </c>
      <c r="AF181" s="83">
        <v>0</v>
      </c>
      <c r="AG181" s="33">
        <f>AI180*(((1+Dashboard!$C$21)^(1/30))-1)</f>
        <v>55.972193940293323</v>
      </c>
      <c r="AH181" s="84">
        <v>0</v>
      </c>
      <c r="AI181" s="29">
        <f t="shared" si="42"/>
        <v>109422.98600730955</v>
      </c>
      <c r="AJ181" s="45">
        <f t="shared" si="35"/>
        <v>0</v>
      </c>
      <c r="AL181" s="83">
        <v>0</v>
      </c>
      <c r="AM181" s="22">
        <v>0</v>
      </c>
      <c r="AN181" s="45">
        <f t="shared" si="36"/>
        <v>0</v>
      </c>
    </row>
    <row r="182" spans="2:40" x14ac:dyDescent="0.25">
      <c r="B182" s="53">
        <f>B181*(((1+Dashboard!$C$20)^(1/30)))</f>
        <v>1084486.9568099731</v>
      </c>
      <c r="C182" s="1">
        <v>178</v>
      </c>
      <c r="D182" s="51">
        <f t="shared" si="37"/>
        <v>46351</v>
      </c>
      <c r="E182" s="7">
        <f t="shared" si="38"/>
        <v>9</v>
      </c>
      <c r="F182" s="31">
        <f>E182*Dashboard!$I$3</f>
        <v>15102</v>
      </c>
      <c r="G182" s="18">
        <f>E165*Dashboard!$I$4</f>
        <v>15750</v>
      </c>
      <c r="H182" s="48"/>
      <c r="I182" s="7">
        <f t="shared" si="39"/>
        <v>9</v>
      </c>
      <c r="J182" s="31">
        <f>I182*Dashboard!$I$3</f>
        <v>15102</v>
      </c>
      <c r="K182" s="29">
        <f>I163*Dashboard!$I$4</f>
        <v>15750</v>
      </c>
      <c r="L182" s="48"/>
      <c r="M182" s="7">
        <f t="shared" si="40"/>
        <v>12</v>
      </c>
      <c r="N182" s="31">
        <f>M182*Dashboard!$I$3</f>
        <v>20136</v>
      </c>
      <c r="O182" s="18">
        <f>M161*Dashboard!$I$4</f>
        <v>21000</v>
      </c>
      <c r="P182" s="48"/>
      <c r="Q182" s="32">
        <f t="shared" si="29"/>
        <v>30</v>
      </c>
      <c r="R182" s="31">
        <f t="shared" si="30"/>
        <v>50340</v>
      </c>
      <c r="S182" s="31">
        <f t="shared" si="31"/>
        <v>52500</v>
      </c>
      <c r="T182" s="31">
        <f t="shared" si="32"/>
        <v>2160</v>
      </c>
      <c r="U182" s="31">
        <f>U181-R182+S182+V182-Custos!D182+Z181+AF181+AL181-AB181-AH181-AM181</f>
        <v>105860.09244642753</v>
      </c>
      <c r="V182" s="31">
        <f>U181*(((1+Dashboard!$C$17)^(1/30))-1)</f>
        <v>39.562116920974375</v>
      </c>
      <c r="W182" s="29">
        <f t="shared" si="33"/>
        <v>156200.09244642753</v>
      </c>
      <c r="X182" s="45">
        <f>-R182+S182-Custos!D182</f>
        <v>656.59999999999991</v>
      </c>
      <c r="Z182" s="83">
        <v>0</v>
      </c>
      <c r="AA182" s="33">
        <f>AC181*(((1+Dashboard!$C$20)^(1/30))-1)</f>
        <v>298.09952580416513</v>
      </c>
      <c r="AB182" s="84">
        <v>0</v>
      </c>
      <c r="AC182" s="18">
        <f t="shared" si="41"/>
        <v>650692.17408598308</v>
      </c>
      <c r="AD182" s="47">
        <f t="shared" si="34"/>
        <v>0</v>
      </c>
      <c r="AF182" s="83">
        <v>0</v>
      </c>
      <c r="AG182" s="33">
        <f>AI181*(((1+Dashboard!$C$21)^(1/30))-1)</f>
        <v>56.000839565562352</v>
      </c>
      <c r="AH182" s="84">
        <v>0</v>
      </c>
      <c r="AI182" s="29">
        <f t="shared" si="42"/>
        <v>109478.98684687511</v>
      </c>
      <c r="AJ182" s="45">
        <f t="shared" si="35"/>
        <v>0</v>
      </c>
      <c r="AL182" s="83">
        <v>0</v>
      </c>
      <c r="AM182" s="22">
        <v>0</v>
      </c>
      <c r="AN182" s="45">
        <f t="shared" si="36"/>
        <v>0</v>
      </c>
    </row>
    <row r="183" spans="2:40" x14ac:dyDescent="0.25">
      <c r="B183" s="53">
        <f>B182*(((1+Dashboard!$C$20)^(1/30)))</f>
        <v>1084984.017069608</v>
      </c>
      <c r="C183" s="1">
        <v>179</v>
      </c>
      <c r="D183" s="51">
        <f t="shared" si="37"/>
        <v>46352</v>
      </c>
      <c r="E183" s="7">
        <f t="shared" si="38"/>
        <v>9</v>
      </c>
      <c r="F183" s="31">
        <f>E183*Dashboard!$I$3</f>
        <v>15102</v>
      </c>
      <c r="G183" s="18">
        <f>E166*Dashboard!$I$4</f>
        <v>15750</v>
      </c>
      <c r="H183" s="48"/>
      <c r="I183" s="7">
        <f t="shared" si="39"/>
        <v>9</v>
      </c>
      <c r="J183" s="31">
        <f>I183*Dashboard!$I$3</f>
        <v>15102</v>
      </c>
      <c r="K183" s="29">
        <f>I164*Dashboard!$I$4</f>
        <v>15750</v>
      </c>
      <c r="L183" s="48"/>
      <c r="M183" s="7">
        <f t="shared" si="40"/>
        <v>12</v>
      </c>
      <c r="N183" s="31">
        <f>M183*Dashboard!$I$3</f>
        <v>20136</v>
      </c>
      <c r="O183" s="18">
        <f>M162*Dashboard!$I$4</f>
        <v>21000</v>
      </c>
      <c r="P183" s="48"/>
      <c r="Q183" s="32">
        <f t="shared" si="29"/>
        <v>30</v>
      </c>
      <c r="R183" s="31">
        <f t="shared" si="30"/>
        <v>50340</v>
      </c>
      <c r="S183" s="31">
        <f t="shared" si="31"/>
        <v>52500</v>
      </c>
      <c r="T183" s="31">
        <f t="shared" si="32"/>
        <v>2160</v>
      </c>
      <c r="U183" s="31">
        <f>U182-R183+S183+V183-Custos!D183+Z182+AF182+AL182-AB182-AH182-AM182</f>
        <v>106556.51645587172</v>
      </c>
      <c r="V183" s="31">
        <f>U182*(((1+Dashboard!$C$17)^(1/30))-1)</f>
        <v>39.824009444192988</v>
      </c>
      <c r="W183" s="29">
        <f t="shared" si="33"/>
        <v>156896.51645587172</v>
      </c>
      <c r="X183" s="45">
        <f>-R183+S183-Custos!D183</f>
        <v>656.59999999999991</v>
      </c>
      <c r="Z183" s="83">
        <v>0</v>
      </c>
      <c r="AA183" s="33">
        <f>AC182*(((1+Dashboard!$C$20)^(1/30))-1)</f>
        <v>298.2361557809138</v>
      </c>
      <c r="AB183" s="84">
        <v>0</v>
      </c>
      <c r="AC183" s="18">
        <f t="shared" si="41"/>
        <v>650990.41024176404</v>
      </c>
      <c r="AD183" s="47">
        <f t="shared" si="34"/>
        <v>0</v>
      </c>
      <c r="AF183" s="83">
        <v>0</v>
      </c>
      <c r="AG183" s="33">
        <f>AI182*(((1+Dashboard!$C$21)^(1/30))-1)</f>
        <v>56.029499851179473</v>
      </c>
      <c r="AH183" s="84">
        <v>0</v>
      </c>
      <c r="AI183" s="29">
        <f t="shared" si="42"/>
        <v>109535.01634672629</v>
      </c>
      <c r="AJ183" s="45">
        <f t="shared" si="35"/>
        <v>0</v>
      </c>
      <c r="AL183" s="83">
        <v>0</v>
      </c>
      <c r="AM183" s="22">
        <v>0</v>
      </c>
      <c r="AN183" s="45">
        <f t="shared" si="36"/>
        <v>0</v>
      </c>
    </row>
    <row r="184" spans="2:40" x14ac:dyDescent="0.25">
      <c r="B184" s="53">
        <f>B183*(((1+Dashboard!$C$20)^(1/30)))</f>
        <v>1085481.3051502416</v>
      </c>
      <c r="C184" s="1">
        <v>180</v>
      </c>
      <c r="D184" s="51">
        <f t="shared" si="37"/>
        <v>46353</v>
      </c>
      <c r="E184" s="7">
        <f t="shared" si="38"/>
        <v>9</v>
      </c>
      <c r="F184" s="31">
        <f>E184*Dashboard!$I$3</f>
        <v>15102</v>
      </c>
      <c r="G184" s="18">
        <f>E167*Dashboard!$I$4</f>
        <v>15750</v>
      </c>
      <c r="H184" s="48"/>
      <c r="I184" s="7">
        <f t="shared" si="39"/>
        <v>9</v>
      </c>
      <c r="J184" s="31">
        <f>I184*Dashboard!$I$3</f>
        <v>15102</v>
      </c>
      <c r="K184" s="29">
        <f>I165*Dashboard!$I$4</f>
        <v>15750</v>
      </c>
      <c r="L184" s="48"/>
      <c r="M184" s="7">
        <f t="shared" si="40"/>
        <v>12</v>
      </c>
      <c r="N184" s="31">
        <f>M184*Dashboard!$I$3</f>
        <v>20136</v>
      </c>
      <c r="O184" s="18">
        <f>M163*Dashboard!$I$4</f>
        <v>21000</v>
      </c>
      <c r="P184" s="48"/>
      <c r="Q184" s="32">
        <f t="shared" si="29"/>
        <v>30</v>
      </c>
      <c r="R184" s="31">
        <f t="shared" si="30"/>
        <v>50340</v>
      </c>
      <c r="S184" s="31">
        <f t="shared" si="31"/>
        <v>52500</v>
      </c>
      <c r="T184" s="31">
        <f t="shared" si="32"/>
        <v>2160</v>
      </c>
      <c r="U184" s="31">
        <f>U183-R184+S184+V184-Custos!D184+Z183+AF183+AL183-AB183-AH183-AM183</f>
        <v>107253.20245636173</v>
      </c>
      <c r="V184" s="31">
        <f>U183*(((1+Dashboard!$C$17)^(1/30))-1)</f>
        <v>40.086000490000018</v>
      </c>
      <c r="W184" s="29">
        <f t="shared" si="33"/>
        <v>157593.20245636173</v>
      </c>
      <c r="X184" s="45">
        <f>-R184+S184-Custos!D184</f>
        <v>656.59999999999991</v>
      </c>
      <c r="Z184" s="83">
        <v>0</v>
      </c>
      <c r="AA184" s="33">
        <f>AC183*(((1+Dashboard!$C$20)^(1/30))-1)</f>
        <v>298.37284838020616</v>
      </c>
      <c r="AB184" s="84">
        <v>0</v>
      </c>
      <c r="AC184" s="18">
        <f t="shared" si="41"/>
        <v>651288.78309014428</v>
      </c>
      <c r="AD184" s="47">
        <f t="shared" si="34"/>
        <v>0</v>
      </c>
      <c r="AF184" s="83">
        <v>0</v>
      </c>
      <c r="AG184" s="33">
        <f>AI183*(((1+Dashboard!$C$21)^(1/30))-1)</f>
        <v>56.058174804647614</v>
      </c>
      <c r="AH184" s="84">
        <v>0</v>
      </c>
      <c r="AI184" s="29">
        <f t="shared" si="42"/>
        <v>109591.07452153094</v>
      </c>
      <c r="AJ184" s="45">
        <f t="shared" si="35"/>
        <v>0</v>
      </c>
      <c r="AL184" s="83">
        <v>0</v>
      </c>
      <c r="AM184" s="22">
        <v>0</v>
      </c>
      <c r="AN184" s="45">
        <f t="shared" si="36"/>
        <v>0</v>
      </c>
    </row>
    <row r="185" spans="2:40" x14ac:dyDescent="0.25">
      <c r="B185" s="53">
        <f>B184*(((1+Dashboard!$C$20)^(1/30)))</f>
        <v>1085978.8211562929</v>
      </c>
      <c r="C185" s="1">
        <v>181</v>
      </c>
      <c r="D185" s="51">
        <f t="shared" si="37"/>
        <v>46354</v>
      </c>
      <c r="E185" s="7">
        <f t="shared" si="38"/>
        <v>9</v>
      </c>
      <c r="F185" s="31">
        <f>E185*Dashboard!$I$3</f>
        <v>15102</v>
      </c>
      <c r="G185" s="18">
        <f>E168*Dashboard!$I$4</f>
        <v>15750</v>
      </c>
      <c r="H185" s="48"/>
      <c r="I185" s="7">
        <f t="shared" si="39"/>
        <v>9</v>
      </c>
      <c r="J185" s="31">
        <f>I185*Dashboard!$I$3</f>
        <v>15102</v>
      </c>
      <c r="K185" s="29">
        <f>I166*Dashboard!$I$4</f>
        <v>15750</v>
      </c>
      <c r="L185" s="48"/>
      <c r="M185" s="7">
        <f t="shared" si="40"/>
        <v>12</v>
      </c>
      <c r="N185" s="31">
        <f>M185*Dashboard!$I$3</f>
        <v>20136</v>
      </c>
      <c r="O185" s="18">
        <f>M164*Dashboard!$I$4</f>
        <v>21000</v>
      </c>
      <c r="P185" s="48"/>
      <c r="Q185" s="32">
        <f t="shared" si="29"/>
        <v>30</v>
      </c>
      <c r="R185" s="31">
        <f t="shared" si="30"/>
        <v>50340</v>
      </c>
      <c r="S185" s="31">
        <f t="shared" si="31"/>
        <v>52500</v>
      </c>
      <c r="T185" s="31">
        <f t="shared" si="32"/>
        <v>2160</v>
      </c>
      <c r="U185" s="31">
        <f>U184-R185+S185+V185-Custos!D185+Z184+AF184+AL184-AB184-AH184-AM184</f>
        <v>107950.1505464572</v>
      </c>
      <c r="V185" s="31">
        <f>U184*(((1+Dashboard!$C$17)^(1/30))-1)</f>
        <v>40.348090095459149</v>
      </c>
      <c r="W185" s="29">
        <f t="shared" si="33"/>
        <v>158290.15054645721</v>
      </c>
      <c r="X185" s="45">
        <f>-R185+S185-Custos!D185</f>
        <v>656.59999999999991</v>
      </c>
      <c r="Z185" s="83">
        <v>0</v>
      </c>
      <c r="AA185" s="33">
        <f>AC184*(((1+Dashboard!$C$20)^(1/30))-1)</f>
        <v>298.50960363074427</v>
      </c>
      <c r="AB185" s="84">
        <v>0</v>
      </c>
      <c r="AC185" s="18">
        <f t="shared" si="41"/>
        <v>651587.29269377503</v>
      </c>
      <c r="AD185" s="47">
        <f t="shared" si="34"/>
        <v>0</v>
      </c>
      <c r="AF185" s="83">
        <v>0</v>
      </c>
      <c r="AG185" s="33">
        <f>AI184*(((1+Dashboard!$C$21)^(1/30))-1)</f>
        <v>56.086864433473536</v>
      </c>
      <c r="AH185" s="84">
        <v>0</v>
      </c>
      <c r="AI185" s="29">
        <f t="shared" si="42"/>
        <v>109647.16138596441</v>
      </c>
      <c r="AJ185" s="45">
        <f t="shared" si="35"/>
        <v>0</v>
      </c>
      <c r="AL185" s="83">
        <v>0</v>
      </c>
      <c r="AM185" s="22">
        <v>0</v>
      </c>
      <c r="AN185" s="45">
        <f t="shared" si="36"/>
        <v>0</v>
      </c>
    </row>
    <row r="186" spans="2:40" x14ac:dyDescent="0.25">
      <c r="B186" s="53">
        <f>B185*(((1+Dashboard!$C$20)^(1/30)))</f>
        <v>1086476.5651922284</v>
      </c>
      <c r="C186" s="1">
        <v>182</v>
      </c>
      <c r="D186" s="51">
        <f t="shared" si="37"/>
        <v>46355</v>
      </c>
      <c r="E186" s="7">
        <f t="shared" si="38"/>
        <v>9</v>
      </c>
      <c r="F186" s="31">
        <f>E186*Dashboard!$I$3</f>
        <v>15102</v>
      </c>
      <c r="G186" s="18">
        <f>E169*Dashboard!$I$4</f>
        <v>15750</v>
      </c>
      <c r="H186" s="48"/>
      <c r="I186" s="7">
        <f t="shared" si="39"/>
        <v>9</v>
      </c>
      <c r="J186" s="31">
        <f>I186*Dashboard!$I$3</f>
        <v>15102</v>
      </c>
      <c r="K186" s="29">
        <f>I167*Dashboard!$I$4</f>
        <v>15750</v>
      </c>
      <c r="L186" s="48"/>
      <c r="M186" s="7">
        <f t="shared" si="40"/>
        <v>12</v>
      </c>
      <c r="N186" s="31">
        <f>M186*Dashboard!$I$3</f>
        <v>20136</v>
      </c>
      <c r="O186" s="18">
        <f>M165*Dashboard!$I$4</f>
        <v>21000</v>
      </c>
      <c r="P186" s="48"/>
      <c r="Q186" s="32">
        <f t="shared" si="29"/>
        <v>30</v>
      </c>
      <c r="R186" s="31">
        <f t="shared" si="30"/>
        <v>50340</v>
      </c>
      <c r="S186" s="31">
        <f t="shared" si="31"/>
        <v>52500</v>
      </c>
      <c r="T186" s="31">
        <f t="shared" si="32"/>
        <v>2160</v>
      </c>
      <c r="U186" s="31">
        <f>U185-R186+S186+V186-Custos!D186+Z185+AF185+AL185-AB185-AH185-AM185</f>
        <v>108647.36082475485</v>
      </c>
      <c r="V186" s="31">
        <f>U185*(((1+Dashboard!$C$17)^(1/30))-1)</f>
        <v>40.610278297647994</v>
      </c>
      <c r="W186" s="29">
        <f t="shared" si="33"/>
        <v>158987.36082475487</v>
      </c>
      <c r="X186" s="45">
        <f>-R186+S186-Custos!D186</f>
        <v>656.59999999999991</v>
      </c>
      <c r="Z186" s="83">
        <v>0</v>
      </c>
      <c r="AA186" s="33">
        <f>AC185*(((1+Dashboard!$C$20)^(1/30))-1)</f>
        <v>298.64642156124359</v>
      </c>
      <c r="AB186" s="84">
        <v>0</v>
      </c>
      <c r="AC186" s="18">
        <f t="shared" si="41"/>
        <v>651885.93911533628</v>
      </c>
      <c r="AD186" s="47">
        <f t="shared" si="34"/>
        <v>0</v>
      </c>
      <c r="AF186" s="83">
        <v>0</v>
      </c>
      <c r="AG186" s="33">
        <f>AI185*(((1+Dashboard!$C$21)^(1/30))-1)</f>
        <v>56.115568745167828</v>
      </c>
      <c r="AH186" s="84">
        <v>0</v>
      </c>
      <c r="AI186" s="29">
        <f t="shared" si="42"/>
        <v>109703.27695470958</v>
      </c>
      <c r="AJ186" s="45">
        <f t="shared" si="35"/>
        <v>0</v>
      </c>
      <c r="AL186" s="83">
        <v>0</v>
      </c>
      <c r="AM186" s="22">
        <v>0</v>
      </c>
      <c r="AN186" s="45">
        <f t="shared" si="36"/>
        <v>0</v>
      </c>
    </row>
    <row r="187" spans="2:40" x14ac:dyDescent="0.25">
      <c r="B187" s="53">
        <f>B186*(((1+Dashboard!$C$20)^(1/30)))</f>
        <v>1086974.5373625625</v>
      </c>
      <c r="C187" s="1">
        <v>183</v>
      </c>
      <c r="D187" s="51">
        <f t="shared" si="37"/>
        <v>46356</v>
      </c>
      <c r="E187" s="7">
        <f t="shared" si="38"/>
        <v>9</v>
      </c>
      <c r="F187" s="31">
        <f>E187*Dashboard!$I$3</f>
        <v>15102</v>
      </c>
      <c r="G187" s="18">
        <f>E170*Dashboard!$I$4</f>
        <v>15750</v>
      </c>
      <c r="H187" s="48"/>
      <c r="I187" s="7">
        <f t="shared" si="39"/>
        <v>9</v>
      </c>
      <c r="J187" s="31">
        <f>I187*Dashboard!$I$3</f>
        <v>15102</v>
      </c>
      <c r="K187" s="29">
        <f>I168*Dashboard!$I$4</f>
        <v>15750</v>
      </c>
      <c r="L187" s="48"/>
      <c r="M187" s="7">
        <f t="shared" si="40"/>
        <v>12</v>
      </c>
      <c r="N187" s="31">
        <f>M187*Dashboard!$I$3</f>
        <v>20136</v>
      </c>
      <c r="O187" s="18">
        <f>M166*Dashboard!$I$4</f>
        <v>21000</v>
      </c>
      <c r="P187" s="48"/>
      <c r="Q187" s="32">
        <f t="shared" si="29"/>
        <v>30</v>
      </c>
      <c r="R187" s="31">
        <f t="shared" si="30"/>
        <v>50340</v>
      </c>
      <c r="S187" s="31">
        <f t="shared" si="31"/>
        <v>52500</v>
      </c>
      <c r="T187" s="31">
        <f t="shared" si="32"/>
        <v>2160</v>
      </c>
      <c r="U187" s="31">
        <f>U186-R187+S187+V187-Custos!D187+Z186+AF186+AL186-AB186-AH186-AM186</f>
        <v>109344.83338988852</v>
      </c>
      <c r="V187" s="31">
        <f>U186*(((1+Dashboard!$C$17)^(1/30))-1)</f>
        <v>40.872565133658135</v>
      </c>
      <c r="W187" s="29">
        <f t="shared" si="33"/>
        <v>159684.83338988852</v>
      </c>
      <c r="X187" s="45">
        <f>-R187+S187-Custos!D187</f>
        <v>656.59999999999991</v>
      </c>
      <c r="Z187" s="83">
        <v>0</v>
      </c>
      <c r="AA187" s="33">
        <f>AC186*(((1+Dashboard!$C$20)^(1/30))-1)</f>
        <v>298.78330220043256</v>
      </c>
      <c r="AB187" s="84">
        <v>0</v>
      </c>
      <c r="AC187" s="18">
        <f t="shared" si="41"/>
        <v>652184.72241753666</v>
      </c>
      <c r="AD187" s="47">
        <f t="shared" si="34"/>
        <v>0</v>
      </c>
      <c r="AF187" s="83">
        <v>0</v>
      </c>
      <c r="AG187" s="33">
        <f>AI186*(((1+Dashboard!$C$21)^(1/30))-1)</f>
        <v>56.144287747244945</v>
      </c>
      <c r="AH187" s="84">
        <v>0</v>
      </c>
      <c r="AI187" s="29">
        <f t="shared" si="42"/>
        <v>109759.42124245682</v>
      </c>
      <c r="AJ187" s="45">
        <f t="shared" si="35"/>
        <v>0</v>
      </c>
      <c r="AL187" s="83">
        <v>0</v>
      </c>
      <c r="AM187" s="22">
        <v>0</v>
      </c>
      <c r="AN187" s="45">
        <f t="shared" si="36"/>
        <v>0</v>
      </c>
    </row>
    <row r="188" spans="2:40" x14ac:dyDescent="0.25">
      <c r="B188" s="53">
        <f>B187*(((1+Dashboard!$C$20)^(1/30)))</f>
        <v>1087472.7377718575</v>
      </c>
      <c r="C188" s="1">
        <v>184</v>
      </c>
      <c r="D188" s="51">
        <f t="shared" si="37"/>
        <v>46357</v>
      </c>
      <c r="E188" s="7">
        <f t="shared" si="38"/>
        <v>9</v>
      </c>
      <c r="F188" s="31">
        <f>E188*Dashboard!$I$3</f>
        <v>15102</v>
      </c>
      <c r="G188" s="18">
        <f>E171*Dashboard!$I$4</f>
        <v>15750</v>
      </c>
      <c r="H188" s="48"/>
      <c r="I188" s="7">
        <f t="shared" si="39"/>
        <v>9</v>
      </c>
      <c r="J188" s="31">
        <f>I188*Dashboard!$I$3</f>
        <v>15102</v>
      </c>
      <c r="K188" s="29">
        <f>I169*Dashboard!$I$4</f>
        <v>15750</v>
      </c>
      <c r="L188" s="48"/>
      <c r="M188" s="7">
        <f t="shared" si="40"/>
        <v>12</v>
      </c>
      <c r="N188" s="31">
        <f>M188*Dashboard!$I$3</f>
        <v>20136</v>
      </c>
      <c r="O188" s="18">
        <f>M167*Dashboard!$I$4</f>
        <v>21000</v>
      </c>
      <c r="P188" s="48"/>
      <c r="Q188" s="32">
        <f t="shared" si="29"/>
        <v>30</v>
      </c>
      <c r="R188" s="31">
        <f t="shared" si="30"/>
        <v>50340</v>
      </c>
      <c r="S188" s="31">
        <f t="shared" si="31"/>
        <v>52500</v>
      </c>
      <c r="T188" s="31">
        <f t="shared" si="32"/>
        <v>2160</v>
      </c>
      <c r="U188" s="31">
        <f>U187-R188+S188+V188-Custos!D188+Z187+AF187+AL187-AB187-AH187-AM187</f>
        <v>110042.56834052912</v>
      </c>
      <c r="V188" s="31">
        <f>U187*(((1+Dashboard!$C$17)^(1/30))-1)</f>
        <v>41.134950640595086</v>
      </c>
      <c r="W188" s="29">
        <f t="shared" si="33"/>
        <v>160382.56834052911</v>
      </c>
      <c r="X188" s="45">
        <f>-R188+S188-Custos!D188</f>
        <v>656.59999999999991</v>
      </c>
      <c r="Z188" s="83">
        <v>0</v>
      </c>
      <c r="AA188" s="33">
        <f>AC187*(((1+Dashboard!$C$20)^(1/30))-1)</f>
        <v>298.92024557705287</v>
      </c>
      <c r="AB188" s="84">
        <v>0</v>
      </c>
      <c r="AC188" s="18">
        <f t="shared" si="41"/>
        <v>652483.64266311366</v>
      </c>
      <c r="AD188" s="47">
        <f t="shared" si="34"/>
        <v>0</v>
      </c>
      <c r="AF188" s="83">
        <v>0</v>
      </c>
      <c r="AG188" s="33">
        <f>AI187*(((1+Dashboard!$C$21)^(1/30))-1)</f>
        <v>56.173021447223178</v>
      </c>
      <c r="AH188" s="84">
        <v>0</v>
      </c>
      <c r="AI188" s="29">
        <f t="shared" si="42"/>
        <v>109815.59426390404</v>
      </c>
      <c r="AJ188" s="45">
        <f t="shared" si="35"/>
        <v>0</v>
      </c>
      <c r="AL188" s="83">
        <v>0</v>
      </c>
      <c r="AM188" s="22">
        <v>0</v>
      </c>
      <c r="AN188" s="45">
        <f t="shared" si="36"/>
        <v>0</v>
      </c>
    </row>
    <row r="189" spans="2:40" x14ac:dyDescent="0.25">
      <c r="B189" s="53">
        <f>B188*(((1+Dashboard!$C$20)^(1/30)))</f>
        <v>1087971.1665247239</v>
      </c>
      <c r="C189" s="1">
        <v>185</v>
      </c>
      <c r="D189" s="51">
        <f t="shared" si="37"/>
        <v>46358</v>
      </c>
      <c r="E189" s="7">
        <f t="shared" si="38"/>
        <v>9</v>
      </c>
      <c r="F189" s="31">
        <f>E189*Dashboard!$I$3</f>
        <v>15102</v>
      </c>
      <c r="G189" s="18">
        <f>E172*Dashboard!$I$4</f>
        <v>15750</v>
      </c>
      <c r="H189" s="48"/>
      <c r="I189" s="7">
        <f t="shared" si="39"/>
        <v>9</v>
      </c>
      <c r="J189" s="31">
        <f>I189*Dashboard!$I$3</f>
        <v>15102</v>
      </c>
      <c r="K189" s="29">
        <f>I170*Dashboard!$I$4</f>
        <v>15750</v>
      </c>
      <c r="L189" s="48"/>
      <c r="M189" s="7">
        <f t="shared" si="40"/>
        <v>12</v>
      </c>
      <c r="N189" s="31">
        <f>M189*Dashboard!$I$3</f>
        <v>20136</v>
      </c>
      <c r="O189" s="18">
        <f>M168*Dashboard!$I$4</f>
        <v>21000</v>
      </c>
      <c r="P189" s="48"/>
      <c r="Q189" s="32">
        <f t="shared" si="29"/>
        <v>30</v>
      </c>
      <c r="R189" s="31">
        <f t="shared" si="30"/>
        <v>50340</v>
      </c>
      <c r="S189" s="31">
        <f t="shared" si="31"/>
        <v>52500</v>
      </c>
      <c r="T189" s="31">
        <f t="shared" si="32"/>
        <v>2160</v>
      </c>
      <c r="U189" s="31">
        <f>U188-R189+S189+V189-Custos!D189+Z188+AF188+AL188-AB188-AH188-AM188</f>
        <v>110740.5657753847</v>
      </c>
      <c r="V189" s="31">
        <f>U188*(((1+Dashboard!$C$17)^(1/30))-1)</f>
        <v>41.397434855578339</v>
      </c>
      <c r="W189" s="29">
        <f t="shared" si="33"/>
        <v>161080.56577538472</v>
      </c>
      <c r="X189" s="45">
        <f>-R189+S189-Custos!D189</f>
        <v>656.59999999999991</v>
      </c>
      <c r="Z189" s="83">
        <v>0</v>
      </c>
      <c r="AA189" s="33">
        <f>AC188*(((1+Dashboard!$C$20)^(1/30))-1)</f>
        <v>299.05725171985949</v>
      </c>
      <c r="AB189" s="84">
        <v>0</v>
      </c>
      <c r="AC189" s="18">
        <f t="shared" si="41"/>
        <v>652782.69991483353</v>
      </c>
      <c r="AD189" s="47">
        <f t="shared" si="34"/>
        <v>0</v>
      </c>
      <c r="AF189" s="83">
        <v>0</v>
      </c>
      <c r="AG189" s="33">
        <f>AI188*(((1+Dashboard!$C$21)^(1/30))-1)</f>
        <v>56.201769852624658</v>
      </c>
      <c r="AH189" s="84">
        <v>0</v>
      </c>
      <c r="AI189" s="29">
        <f t="shared" si="42"/>
        <v>109871.79603375666</v>
      </c>
      <c r="AJ189" s="45">
        <f t="shared" si="35"/>
        <v>0</v>
      </c>
      <c r="AL189" s="83">
        <v>0</v>
      </c>
      <c r="AM189" s="22">
        <v>0</v>
      </c>
      <c r="AN189" s="45">
        <f t="shared" si="36"/>
        <v>0</v>
      </c>
    </row>
    <row r="190" spans="2:40" x14ac:dyDescent="0.25">
      <c r="B190" s="53">
        <f>B189*(((1+Dashboard!$C$20)^(1/30)))</f>
        <v>1088469.8237258198</v>
      </c>
      <c r="C190" s="1">
        <v>186</v>
      </c>
      <c r="D190" s="51">
        <f t="shared" si="37"/>
        <v>46359</v>
      </c>
      <c r="E190" s="7">
        <f t="shared" si="38"/>
        <v>9</v>
      </c>
      <c r="F190" s="31">
        <f>E190*Dashboard!$I$3</f>
        <v>15102</v>
      </c>
      <c r="G190" s="18">
        <f>E173*Dashboard!$I$4</f>
        <v>15750</v>
      </c>
      <c r="H190" s="48"/>
      <c r="I190" s="7">
        <f t="shared" si="39"/>
        <v>9</v>
      </c>
      <c r="J190" s="31">
        <f>I190*Dashboard!$I$3</f>
        <v>15102</v>
      </c>
      <c r="K190" s="29">
        <f>I171*Dashboard!$I$4</f>
        <v>15750</v>
      </c>
      <c r="L190" s="48"/>
      <c r="M190" s="7">
        <f t="shared" si="40"/>
        <v>12</v>
      </c>
      <c r="N190" s="31">
        <f>M190*Dashboard!$I$3</f>
        <v>20136</v>
      </c>
      <c r="O190" s="18">
        <f>M169*Dashboard!$I$4</f>
        <v>21000</v>
      </c>
      <c r="P190" s="48"/>
      <c r="Q190" s="32">
        <f t="shared" si="29"/>
        <v>30</v>
      </c>
      <c r="R190" s="31">
        <f t="shared" si="30"/>
        <v>50340</v>
      </c>
      <c r="S190" s="31">
        <f t="shared" si="31"/>
        <v>52500</v>
      </c>
      <c r="T190" s="31">
        <f t="shared" si="32"/>
        <v>2160</v>
      </c>
      <c r="U190" s="31">
        <f>U189-R190+S190+V190-Custos!D190+Z189+AF189+AL189-AB189-AH189-AM189</f>
        <v>111438.82579320045</v>
      </c>
      <c r="V190" s="31">
        <f>U189*(((1+Dashboard!$C$17)^(1/30))-1)</f>
        <v>41.660017815741334</v>
      </c>
      <c r="W190" s="29">
        <f t="shared" si="33"/>
        <v>161778.82579320046</v>
      </c>
      <c r="X190" s="45">
        <f>-R190+S190-Custos!D190</f>
        <v>656.59999999999991</v>
      </c>
      <c r="Z190" s="83">
        <v>0</v>
      </c>
      <c r="AA190" s="33">
        <f>AC189*(((1+Dashboard!$C$20)^(1/30))-1)</f>
        <v>299.19432065762044</v>
      </c>
      <c r="AB190" s="84">
        <v>0</v>
      </c>
      <c r="AC190" s="18">
        <f t="shared" si="41"/>
        <v>653081.89423549117</v>
      </c>
      <c r="AD190" s="47">
        <f t="shared" si="34"/>
        <v>0</v>
      </c>
      <c r="AF190" s="83">
        <v>0</v>
      </c>
      <c r="AG190" s="33">
        <f>AI189*(((1+Dashboard!$C$21)^(1/30))-1)</f>
        <v>56.230532970975375</v>
      </c>
      <c r="AH190" s="84">
        <v>0</v>
      </c>
      <c r="AI190" s="29">
        <f t="shared" si="42"/>
        <v>109928.02656672764</v>
      </c>
      <c r="AJ190" s="45">
        <f t="shared" si="35"/>
        <v>0</v>
      </c>
      <c r="AL190" s="83">
        <v>0</v>
      </c>
      <c r="AM190" s="22">
        <v>0</v>
      </c>
      <c r="AN190" s="45">
        <f t="shared" si="36"/>
        <v>0</v>
      </c>
    </row>
    <row r="191" spans="2:40" x14ac:dyDescent="0.25">
      <c r="B191" s="53">
        <f>B190*(((1+Dashboard!$C$20)^(1/30)))</f>
        <v>1088968.7094798516</v>
      </c>
      <c r="C191" s="1">
        <v>187</v>
      </c>
      <c r="D191" s="51">
        <f t="shared" si="37"/>
        <v>46360</v>
      </c>
      <c r="E191" s="7">
        <f t="shared" si="38"/>
        <v>9</v>
      </c>
      <c r="F191" s="31">
        <f>E191*Dashboard!$I$3</f>
        <v>15102</v>
      </c>
      <c r="G191" s="18">
        <f>E174*Dashboard!$I$4</f>
        <v>15750</v>
      </c>
      <c r="H191" s="48"/>
      <c r="I191" s="7">
        <f t="shared" si="39"/>
        <v>9</v>
      </c>
      <c r="J191" s="31">
        <f>I191*Dashboard!$I$3</f>
        <v>15102</v>
      </c>
      <c r="K191" s="29">
        <f>I172*Dashboard!$I$4</f>
        <v>15750</v>
      </c>
      <c r="L191" s="48"/>
      <c r="M191" s="7">
        <f t="shared" si="40"/>
        <v>12</v>
      </c>
      <c r="N191" s="31">
        <f>M191*Dashboard!$I$3</f>
        <v>20136</v>
      </c>
      <c r="O191" s="18">
        <f>M170*Dashboard!$I$4</f>
        <v>21000</v>
      </c>
      <c r="P191" s="48"/>
      <c r="Q191" s="32">
        <f t="shared" si="29"/>
        <v>30</v>
      </c>
      <c r="R191" s="31">
        <f t="shared" si="30"/>
        <v>50340</v>
      </c>
      <c r="S191" s="31">
        <f t="shared" si="31"/>
        <v>52500</v>
      </c>
      <c r="T191" s="31">
        <f t="shared" si="32"/>
        <v>2160</v>
      </c>
      <c r="U191" s="31">
        <f>U190-R191+S191+V191-Custos!D191+Z190+AF190+AL190-AB190-AH190-AM190</f>
        <v>112137.34849275868</v>
      </c>
      <c r="V191" s="31">
        <f>U190*(((1+Dashboard!$C$17)^(1/30))-1)</f>
        <v>41.922699558231493</v>
      </c>
      <c r="W191" s="29">
        <f t="shared" si="33"/>
        <v>162477.3484927587</v>
      </c>
      <c r="X191" s="45">
        <f>-R191+S191-Custos!D191</f>
        <v>656.59999999999991</v>
      </c>
      <c r="Z191" s="83">
        <v>0</v>
      </c>
      <c r="AA191" s="33">
        <f>AC190*(((1+Dashboard!$C$20)^(1/30))-1)</f>
        <v>299.331452419117</v>
      </c>
      <c r="AB191" s="84">
        <v>0</v>
      </c>
      <c r="AC191" s="18">
        <f t="shared" si="41"/>
        <v>653381.22568791034</v>
      </c>
      <c r="AD191" s="47">
        <f t="shared" si="34"/>
        <v>0</v>
      </c>
      <c r="AF191" s="83">
        <v>0</v>
      </c>
      <c r="AG191" s="33">
        <f>AI190*(((1+Dashboard!$C$21)^(1/30))-1)</f>
        <v>56.259310809805172</v>
      </c>
      <c r="AH191" s="84">
        <v>0</v>
      </c>
      <c r="AI191" s="29">
        <f t="shared" si="42"/>
        <v>109984.28587753745</v>
      </c>
      <c r="AJ191" s="45">
        <f t="shared" si="35"/>
        <v>0</v>
      </c>
      <c r="AL191" s="83">
        <v>0</v>
      </c>
      <c r="AM191" s="22">
        <v>0</v>
      </c>
      <c r="AN191" s="45">
        <f t="shared" si="36"/>
        <v>0</v>
      </c>
    </row>
    <row r="192" spans="2:40" x14ac:dyDescent="0.25">
      <c r="B192" s="53">
        <f>B191*(((1+Dashboard!$C$20)^(1/30)))</f>
        <v>1089467.8238915736</v>
      </c>
      <c r="C192" s="1">
        <v>188</v>
      </c>
      <c r="D192" s="51">
        <f t="shared" si="37"/>
        <v>46361</v>
      </c>
      <c r="E192" s="7">
        <f t="shared" si="38"/>
        <v>9</v>
      </c>
      <c r="F192" s="31">
        <f>E192*Dashboard!$I$3</f>
        <v>15102</v>
      </c>
      <c r="G192" s="18">
        <f>E175*Dashboard!$I$4</f>
        <v>15750</v>
      </c>
      <c r="H192" s="48"/>
      <c r="I192" s="7">
        <f t="shared" si="39"/>
        <v>9</v>
      </c>
      <c r="J192" s="31">
        <f>I192*Dashboard!$I$3</f>
        <v>15102</v>
      </c>
      <c r="K192" s="29">
        <f>I173*Dashboard!$I$4</f>
        <v>15750</v>
      </c>
      <c r="L192" s="48"/>
      <c r="M192" s="7">
        <f t="shared" si="40"/>
        <v>12</v>
      </c>
      <c r="N192" s="31">
        <f>M192*Dashboard!$I$3</f>
        <v>20136</v>
      </c>
      <c r="O192" s="18">
        <f>M171*Dashboard!$I$4</f>
        <v>21000</v>
      </c>
      <c r="P192" s="48"/>
      <c r="Q192" s="32">
        <f t="shared" ref="Q192:Q255" si="43">E192+I192+M192</f>
        <v>30</v>
      </c>
      <c r="R192" s="31">
        <f t="shared" ref="R192:R255" si="44">F192+J192+N192</f>
        <v>50340</v>
      </c>
      <c r="S192" s="31">
        <f t="shared" ref="S192:S255" si="45">G192+K192+O192</f>
        <v>52500</v>
      </c>
      <c r="T192" s="31">
        <f t="shared" ref="T192:T255" si="46">S192-R175</f>
        <v>2160</v>
      </c>
      <c r="U192" s="31">
        <f>U191-R192+S192+V192-Custos!D192+Z191+AF191+AL191-AB191-AH191-AM191</f>
        <v>112836.1339728789</v>
      </c>
      <c r="V192" s="31">
        <f>U191*(((1+Dashboard!$C$17)^(1/30))-1)</f>
        <v>42.185480120210201</v>
      </c>
      <c r="W192" s="29">
        <f t="shared" ref="W192:W255" si="47">U192+R192</f>
        <v>163176.13397287892</v>
      </c>
      <c r="X192" s="45">
        <f>-R192+S192-Custos!D192</f>
        <v>656.59999999999991</v>
      </c>
      <c r="Z192" s="83">
        <v>0</v>
      </c>
      <c r="AA192" s="33">
        <f>AC191*(((1+Dashboard!$C$20)^(1/30))-1)</f>
        <v>299.4686470331435</v>
      </c>
      <c r="AB192" s="84">
        <v>0</v>
      </c>
      <c r="AC192" s="18">
        <f t="shared" si="41"/>
        <v>653680.69433494343</v>
      </c>
      <c r="AD192" s="47">
        <f t="shared" ref="AD192:AD255" si="48">-Z192+AB192</f>
        <v>0</v>
      </c>
      <c r="AF192" s="83">
        <v>0</v>
      </c>
      <c r="AG192" s="33">
        <f>AI191*(((1+Dashboard!$C$21)^(1/30))-1)</f>
        <v>56.288103376647747</v>
      </c>
      <c r="AH192" s="84">
        <v>0</v>
      </c>
      <c r="AI192" s="29">
        <f t="shared" si="42"/>
        <v>110040.57398091409</v>
      </c>
      <c r="AJ192" s="45">
        <f t="shared" ref="AJ192:AJ255" si="49">-AF192+AH192</f>
        <v>0</v>
      </c>
      <c r="AL192" s="83">
        <v>0</v>
      </c>
      <c r="AM192" s="22">
        <v>0</v>
      </c>
      <c r="AN192" s="45">
        <f t="shared" ref="AN192:AN255" si="50">-AL192+AM192</f>
        <v>0</v>
      </c>
    </row>
    <row r="193" spans="2:40" x14ac:dyDescent="0.25">
      <c r="B193" s="53">
        <f>B192*(((1+Dashboard!$C$20)^(1/30)))</f>
        <v>1089967.1670657878</v>
      </c>
      <c r="C193" s="1">
        <v>189</v>
      </c>
      <c r="D193" s="51">
        <f t="shared" si="37"/>
        <v>46362</v>
      </c>
      <c r="E193" s="7">
        <f t="shared" si="38"/>
        <v>9</v>
      </c>
      <c r="F193" s="31">
        <f>E193*Dashboard!$I$3</f>
        <v>15102</v>
      </c>
      <c r="G193" s="18">
        <f>E176*Dashboard!$I$4</f>
        <v>15750</v>
      </c>
      <c r="H193" s="48"/>
      <c r="I193" s="7">
        <f t="shared" si="39"/>
        <v>9</v>
      </c>
      <c r="J193" s="31">
        <f>I193*Dashboard!$I$3</f>
        <v>15102</v>
      </c>
      <c r="K193" s="29">
        <f>I174*Dashboard!$I$4</f>
        <v>15750</v>
      </c>
      <c r="L193" s="48"/>
      <c r="M193" s="7">
        <f t="shared" si="40"/>
        <v>12</v>
      </c>
      <c r="N193" s="31">
        <f>M193*Dashboard!$I$3</f>
        <v>20136</v>
      </c>
      <c r="O193" s="18">
        <f>M172*Dashboard!$I$4</f>
        <v>21000</v>
      </c>
      <c r="P193" s="48"/>
      <c r="Q193" s="32">
        <f t="shared" si="43"/>
        <v>30</v>
      </c>
      <c r="R193" s="31">
        <f t="shared" si="44"/>
        <v>50340</v>
      </c>
      <c r="S193" s="31">
        <f t="shared" si="45"/>
        <v>52500</v>
      </c>
      <c r="T193" s="31">
        <f t="shared" si="46"/>
        <v>2160</v>
      </c>
      <c r="U193" s="31">
        <f>U192-R193+S193+V193-Custos!D193+Z192+AF192+AL192-AB192-AH192-AM192</f>
        <v>113535.18233241777</v>
      </c>
      <c r="V193" s="31">
        <f>U192*(((1+Dashboard!$C$17)^(1/30))-1)</f>
        <v>42.448359538852834</v>
      </c>
      <c r="W193" s="29">
        <f t="shared" si="47"/>
        <v>163875.18233241775</v>
      </c>
      <c r="X193" s="45">
        <f>-R193+S193-Custos!D193</f>
        <v>656.59999999999991</v>
      </c>
      <c r="Z193" s="83">
        <v>0</v>
      </c>
      <c r="AA193" s="33">
        <f>AC192*(((1+Dashboard!$C$20)^(1/30))-1)</f>
        <v>299.60590452850761</v>
      </c>
      <c r="AB193" s="84">
        <v>0</v>
      </c>
      <c r="AC193" s="18">
        <f t="shared" si="41"/>
        <v>653980.30023947195</v>
      </c>
      <c r="AD193" s="47">
        <f t="shared" si="48"/>
        <v>0</v>
      </c>
      <c r="AF193" s="83">
        <v>0</v>
      </c>
      <c r="AG193" s="33">
        <f>AI192*(((1+Dashboard!$C$21)^(1/30))-1)</f>
        <v>56.316910679040632</v>
      </c>
      <c r="AH193" s="84">
        <v>0</v>
      </c>
      <c r="AI193" s="29">
        <f t="shared" si="42"/>
        <v>110096.89089159314</v>
      </c>
      <c r="AJ193" s="45">
        <f t="shared" si="49"/>
        <v>0</v>
      </c>
      <c r="AL193" s="83">
        <v>0</v>
      </c>
      <c r="AM193" s="22">
        <v>0</v>
      </c>
      <c r="AN193" s="45">
        <f t="shared" si="50"/>
        <v>0</v>
      </c>
    </row>
    <row r="194" spans="2:40" x14ac:dyDescent="0.25">
      <c r="B194" s="53">
        <f>B193*(((1+Dashboard!$C$20)^(1/30)))</f>
        <v>1090466.7391073445</v>
      </c>
      <c r="C194" s="1">
        <v>190</v>
      </c>
      <c r="D194" s="51">
        <f t="shared" si="37"/>
        <v>46363</v>
      </c>
      <c r="E194" s="7">
        <f t="shared" si="38"/>
        <v>9</v>
      </c>
      <c r="F194" s="31">
        <f>E194*Dashboard!$I$3</f>
        <v>15102</v>
      </c>
      <c r="G194" s="18">
        <f>E177*Dashboard!$I$4</f>
        <v>15750</v>
      </c>
      <c r="H194" s="48"/>
      <c r="I194" s="7">
        <f t="shared" si="39"/>
        <v>9</v>
      </c>
      <c r="J194" s="31">
        <f>I194*Dashboard!$I$3</f>
        <v>15102</v>
      </c>
      <c r="K194" s="29">
        <f>I175*Dashboard!$I$4</f>
        <v>15750</v>
      </c>
      <c r="L194" s="48"/>
      <c r="M194" s="7">
        <f t="shared" si="40"/>
        <v>12</v>
      </c>
      <c r="N194" s="31">
        <f>M194*Dashboard!$I$3</f>
        <v>20136</v>
      </c>
      <c r="O194" s="18">
        <f>M173*Dashboard!$I$4</f>
        <v>21000</v>
      </c>
      <c r="P194" s="48"/>
      <c r="Q194" s="32">
        <f t="shared" si="43"/>
        <v>30</v>
      </c>
      <c r="R194" s="31">
        <f t="shared" si="44"/>
        <v>50340</v>
      </c>
      <c r="S194" s="31">
        <f t="shared" si="45"/>
        <v>52500</v>
      </c>
      <c r="T194" s="31">
        <f t="shared" si="46"/>
        <v>2160</v>
      </c>
      <c r="U194" s="31">
        <f>U193-R194+S194+V194-Custos!D194+Z193+AF193+AL193-AB193-AH193-AM193</f>
        <v>114234.49367026912</v>
      </c>
      <c r="V194" s="31">
        <f>U193*(((1+Dashboard!$C$17)^(1/30))-1)</f>
        <v>42.711337851348752</v>
      </c>
      <c r="W194" s="29">
        <f t="shared" si="47"/>
        <v>164574.49367026912</v>
      </c>
      <c r="X194" s="45">
        <f>-R194+S194-Custos!D194</f>
        <v>656.59999999999991</v>
      </c>
      <c r="Z194" s="83">
        <v>0</v>
      </c>
      <c r="AA194" s="33">
        <f>AC193*(((1+Dashboard!$C$20)^(1/30))-1)</f>
        <v>299.7432249340302</v>
      </c>
      <c r="AB194" s="84">
        <v>0</v>
      </c>
      <c r="AC194" s="18">
        <f t="shared" si="41"/>
        <v>654280.04346440593</v>
      </c>
      <c r="AD194" s="47">
        <f t="shared" si="48"/>
        <v>0</v>
      </c>
      <c r="AF194" s="83">
        <v>0</v>
      </c>
      <c r="AG194" s="33">
        <f>AI193*(((1+Dashboard!$C$21)^(1/30))-1)</f>
        <v>56.345732724525249</v>
      </c>
      <c r="AH194" s="84">
        <v>0</v>
      </c>
      <c r="AI194" s="29">
        <f t="shared" si="42"/>
        <v>110153.23662431767</v>
      </c>
      <c r="AJ194" s="45">
        <f t="shared" si="49"/>
        <v>0</v>
      </c>
      <c r="AL194" s="83">
        <v>0</v>
      </c>
      <c r="AM194" s="22">
        <v>0</v>
      </c>
      <c r="AN194" s="45">
        <f t="shared" si="50"/>
        <v>0</v>
      </c>
    </row>
    <row r="195" spans="2:40" x14ac:dyDescent="0.25">
      <c r="B195" s="53">
        <f>B194*(((1+Dashboard!$C$20)^(1/30)))</f>
        <v>1090966.5401211421</v>
      </c>
      <c r="C195" s="1">
        <v>191</v>
      </c>
      <c r="D195" s="51">
        <f t="shared" si="37"/>
        <v>46364</v>
      </c>
      <c r="E195" s="7">
        <f t="shared" si="38"/>
        <v>9</v>
      </c>
      <c r="F195" s="31">
        <f>E195*Dashboard!$I$3</f>
        <v>15102</v>
      </c>
      <c r="G195" s="18">
        <f>E178*Dashboard!$I$4</f>
        <v>15750</v>
      </c>
      <c r="H195" s="48"/>
      <c r="I195" s="7">
        <f t="shared" si="39"/>
        <v>9</v>
      </c>
      <c r="J195" s="31">
        <f>I195*Dashboard!$I$3</f>
        <v>15102</v>
      </c>
      <c r="K195" s="29">
        <f>I176*Dashboard!$I$4</f>
        <v>15750</v>
      </c>
      <c r="L195" s="48"/>
      <c r="M195" s="7">
        <f t="shared" si="40"/>
        <v>12</v>
      </c>
      <c r="N195" s="31">
        <f>M195*Dashboard!$I$3</f>
        <v>20136</v>
      </c>
      <c r="O195" s="18">
        <f>M174*Dashboard!$I$4</f>
        <v>21000</v>
      </c>
      <c r="P195" s="48"/>
      <c r="Q195" s="32">
        <f t="shared" si="43"/>
        <v>30</v>
      </c>
      <c r="R195" s="31">
        <f t="shared" si="44"/>
        <v>50340</v>
      </c>
      <c r="S195" s="31">
        <f t="shared" si="45"/>
        <v>52500</v>
      </c>
      <c r="T195" s="31">
        <f t="shared" si="46"/>
        <v>2160</v>
      </c>
      <c r="U195" s="31">
        <f>U194-R195+S195+V195-Custos!D195+Z194+AF194+AL194-AB194-AH194-AM194</f>
        <v>114934.06808536402</v>
      </c>
      <c r="V195" s="31">
        <f>U194*(((1+Dashboard!$C$17)^(1/30))-1)</f>
        <v>42.974415094901296</v>
      </c>
      <c r="W195" s="29">
        <f t="shared" si="47"/>
        <v>165274.06808536401</v>
      </c>
      <c r="X195" s="45">
        <f>-R195+S195-Custos!D195</f>
        <v>656.59999999999991</v>
      </c>
      <c r="Z195" s="83">
        <v>0</v>
      </c>
      <c r="AA195" s="33">
        <f>AC194*(((1+Dashboard!$C$20)^(1/30))-1)</f>
        <v>299.8806082785452</v>
      </c>
      <c r="AB195" s="84">
        <v>0</v>
      </c>
      <c r="AC195" s="18">
        <f t="shared" si="41"/>
        <v>654579.92407268449</v>
      </c>
      <c r="AD195" s="47">
        <f t="shared" si="48"/>
        <v>0</v>
      </c>
      <c r="AF195" s="83">
        <v>0</v>
      </c>
      <c r="AG195" s="33">
        <f>AI194*(((1+Dashboard!$C$21)^(1/30))-1)</f>
        <v>56.374569520646858</v>
      </c>
      <c r="AH195" s="84">
        <v>0</v>
      </c>
      <c r="AI195" s="29">
        <f t="shared" si="42"/>
        <v>110209.61119383831</v>
      </c>
      <c r="AJ195" s="45">
        <f t="shared" si="49"/>
        <v>0</v>
      </c>
      <c r="AL195" s="83">
        <v>0</v>
      </c>
      <c r="AM195" s="22">
        <v>0</v>
      </c>
      <c r="AN195" s="45">
        <f t="shared" si="50"/>
        <v>0</v>
      </c>
    </row>
    <row r="196" spans="2:40" x14ac:dyDescent="0.25">
      <c r="B196" s="53">
        <f>B195*(((1+Dashboard!$C$20)^(1/30)))</f>
        <v>1091466.5702121269</v>
      </c>
      <c r="C196" s="1">
        <v>192</v>
      </c>
      <c r="D196" s="51">
        <f t="shared" si="37"/>
        <v>46365</v>
      </c>
      <c r="E196" s="7">
        <f t="shared" si="38"/>
        <v>9</v>
      </c>
      <c r="F196" s="31">
        <f>E196*Dashboard!$I$3</f>
        <v>15102</v>
      </c>
      <c r="G196" s="18">
        <f>E179*Dashboard!$I$4</f>
        <v>15750</v>
      </c>
      <c r="H196" s="48"/>
      <c r="I196" s="7">
        <f t="shared" si="39"/>
        <v>9</v>
      </c>
      <c r="J196" s="31">
        <f>I196*Dashboard!$I$3</f>
        <v>15102</v>
      </c>
      <c r="K196" s="29">
        <f>I177*Dashboard!$I$4</f>
        <v>15750</v>
      </c>
      <c r="L196" s="48"/>
      <c r="M196" s="7">
        <f t="shared" si="40"/>
        <v>12</v>
      </c>
      <c r="N196" s="31">
        <f>M196*Dashboard!$I$3</f>
        <v>20136</v>
      </c>
      <c r="O196" s="18">
        <f>M175*Dashboard!$I$4</f>
        <v>21000</v>
      </c>
      <c r="P196" s="48"/>
      <c r="Q196" s="32">
        <f t="shared" si="43"/>
        <v>30</v>
      </c>
      <c r="R196" s="31">
        <f t="shared" si="44"/>
        <v>50340</v>
      </c>
      <c r="S196" s="31">
        <f t="shared" si="45"/>
        <v>52500</v>
      </c>
      <c r="T196" s="31">
        <f t="shared" si="46"/>
        <v>2160</v>
      </c>
      <c r="U196" s="31">
        <f>U195-R196+S196+V196-Custos!D196+Z195+AF195+AL195-AB195-AH195-AM195</f>
        <v>115633.90567667075</v>
      </c>
      <c r="V196" s="31">
        <f>U195*(((1+Dashboard!$C$17)^(1/30))-1)</f>
        <v>43.237591306727808</v>
      </c>
      <c r="W196" s="29">
        <f t="shared" si="47"/>
        <v>165973.90567667075</v>
      </c>
      <c r="X196" s="45">
        <f>-R196+S196-Custos!D196</f>
        <v>656.59999999999991</v>
      </c>
      <c r="Z196" s="83">
        <v>0</v>
      </c>
      <c r="AA196" s="33">
        <f>AC195*(((1+Dashboard!$C$20)^(1/30))-1)</f>
        <v>300.01805459090002</v>
      </c>
      <c r="AB196" s="84">
        <v>0</v>
      </c>
      <c r="AC196" s="18">
        <f t="shared" si="41"/>
        <v>654879.9421272754</v>
      </c>
      <c r="AD196" s="47">
        <f t="shared" si="48"/>
        <v>0</v>
      </c>
      <c r="AF196" s="83">
        <v>0</v>
      </c>
      <c r="AG196" s="33">
        <f>AI195*(((1+Dashboard!$C$21)^(1/30))-1)</f>
        <v>56.403421074954579</v>
      </c>
      <c r="AH196" s="84">
        <v>0</v>
      </c>
      <c r="AI196" s="29">
        <f t="shared" si="42"/>
        <v>110266.01461491326</v>
      </c>
      <c r="AJ196" s="45">
        <f t="shared" si="49"/>
        <v>0</v>
      </c>
      <c r="AL196" s="83">
        <v>0</v>
      </c>
      <c r="AM196" s="22">
        <v>0</v>
      </c>
      <c r="AN196" s="45">
        <f t="shared" si="50"/>
        <v>0</v>
      </c>
    </row>
    <row r="197" spans="2:40" x14ac:dyDescent="0.25">
      <c r="B197" s="53">
        <f>B196*(((1+Dashboard!$C$20)^(1/30)))</f>
        <v>1091966.8294852935</v>
      </c>
      <c r="C197" s="1">
        <v>193</v>
      </c>
      <c r="D197" s="51">
        <f t="shared" si="37"/>
        <v>46366</v>
      </c>
      <c r="E197" s="7">
        <f t="shared" si="38"/>
        <v>9</v>
      </c>
      <c r="F197" s="31">
        <f>E197*Dashboard!$I$3</f>
        <v>15102</v>
      </c>
      <c r="G197" s="18">
        <f>E180*Dashboard!$I$4</f>
        <v>15750</v>
      </c>
      <c r="H197" s="48"/>
      <c r="I197" s="7">
        <f t="shared" si="39"/>
        <v>9</v>
      </c>
      <c r="J197" s="31">
        <f>I197*Dashboard!$I$3</f>
        <v>15102</v>
      </c>
      <c r="K197" s="29">
        <f>I178*Dashboard!$I$4</f>
        <v>15750</v>
      </c>
      <c r="L197" s="48"/>
      <c r="M197" s="7">
        <f t="shared" si="40"/>
        <v>12</v>
      </c>
      <c r="N197" s="31">
        <f>M197*Dashboard!$I$3</f>
        <v>20136</v>
      </c>
      <c r="O197" s="18">
        <f>M176*Dashboard!$I$4</f>
        <v>21000</v>
      </c>
      <c r="P197" s="48"/>
      <c r="Q197" s="32">
        <f t="shared" si="43"/>
        <v>30</v>
      </c>
      <c r="R197" s="31">
        <f t="shared" si="44"/>
        <v>50340</v>
      </c>
      <c r="S197" s="31">
        <f t="shared" si="45"/>
        <v>52500</v>
      </c>
      <c r="T197" s="31">
        <f t="shared" si="46"/>
        <v>2160</v>
      </c>
      <c r="U197" s="31">
        <f>U196-R197+S197+V197-Custos!D197+Z196+AF196+AL196-AB196-AH196-AM196</f>
        <v>116334.00654319482</v>
      </c>
      <c r="V197" s="31">
        <f>U196*(((1+Dashboard!$C$17)^(1/30))-1)</f>
        <v>43.500866524059632</v>
      </c>
      <c r="W197" s="29">
        <f t="shared" si="47"/>
        <v>166674.00654319482</v>
      </c>
      <c r="X197" s="45">
        <f>-R197+S197-Custos!D197</f>
        <v>656.59999999999991</v>
      </c>
      <c r="Z197" s="83">
        <v>0</v>
      </c>
      <c r="AA197" s="33">
        <f>AC196*(((1+Dashboard!$C$20)^(1/30))-1)</f>
        <v>300.15556389995498</v>
      </c>
      <c r="AB197" s="84">
        <v>0</v>
      </c>
      <c r="AC197" s="18">
        <f t="shared" si="41"/>
        <v>655180.0976911753</v>
      </c>
      <c r="AD197" s="47">
        <f t="shared" si="48"/>
        <v>0</v>
      </c>
      <c r="AF197" s="83">
        <v>0</v>
      </c>
      <c r="AG197" s="33">
        <f>AI196*(((1+Dashboard!$C$21)^(1/30))-1)</f>
        <v>56.432287395001417</v>
      </c>
      <c r="AH197" s="84">
        <v>0</v>
      </c>
      <c r="AI197" s="29">
        <f t="shared" si="42"/>
        <v>110322.44690230826</v>
      </c>
      <c r="AJ197" s="45">
        <f t="shared" si="49"/>
        <v>0</v>
      </c>
      <c r="AL197" s="83">
        <v>0</v>
      </c>
      <c r="AM197" s="22">
        <v>0</v>
      </c>
      <c r="AN197" s="45">
        <f t="shared" si="50"/>
        <v>0</v>
      </c>
    </row>
    <row r="198" spans="2:40" x14ac:dyDescent="0.25">
      <c r="B198" s="53">
        <f>B197*(((1+Dashboard!$C$20)^(1/30)))</f>
        <v>1092467.3180456844</v>
      </c>
      <c r="C198" s="1">
        <v>194</v>
      </c>
      <c r="D198" s="51">
        <f t="shared" si="37"/>
        <v>46367</v>
      </c>
      <c r="E198" s="7">
        <f t="shared" si="38"/>
        <v>9</v>
      </c>
      <c r="F198" s="31">
        <f>E198*Dashboard!$I$3</f>
        <v>15102</v>
      </c>
      <c r="G198" s="18">
        <f>E181*Dashboard!$I$4</f>
        <v>15750</v>
      </c>
      <c r="H198" s="48"/>
      <c r="I198" s="7">
        <f t="shared" si="39"/>
        <v>9</v>
      </c>
      <c r="J198" s="31">
        <f>I198*Dashboard!$I$3</f>
        <v>15102</v>
      </c>
      <c r="K198" s="29">
        <f>I179*Dashboard!$I$4</f>
        <v>15750</v>
      </c>
      <c r="L198" s="48"/>
      <c r="M198" s="7">
        <f t="shared" si="40"/>
        <v>12</v>
      </c>
      <c r="N198" s="31">
        <f>M198*Dashboard!$I$3</f>
        <v>20136</v>
      </c>
      <c r="O198" s="18">
        <f>M177*Dashboard!$I$4</f>
        <v>21000</v>
      </c>
      <c r="P198" s="48"/>
      <c r="Q198" s="32">
        <f t="shared" si="43"/>
        <v>30</v>
      </c>
      <c r="R198" s="31">
        <f t="shared" si="44"/>
        <v>50340</v>
      </c>
      <c r="S198" s="31">
        <f t="shared" si="45"/>
        <v>52500</v>
      </c>
      <c r="T198" s="31">
        <f t="shared" si="46"/>
        <v>2160</v>
      </c>
      <c r="U198" s="31">
        <f>U197-R198+S198+V198-Custos!D198+Z197+AF197+AL197-AB197-AH197-AM197</f>
        <v>117034.37078397897</v>
      </c>
      <c r="V198" s="31">
        <f>U197*(((1+Dashboard!$C$17)^(1/30))-1)</f>
        <v>43.764240784142125</v>
      </c>
      <c r="W198" s="29">
        <f t="shared" si="47"/>
        <v>167374.37078397896</v>
      </c>
      <c r="X198" s="45">
        <f>-R198+S198-Custos!D198</f>
        <v>656.59999999999991</v>
      </c>
      <c r="Z198" s="83">
        <v>0</v>
      </c>
      <c r="AA198" s="33">
        <f>AC197*(((1+Dashboard!$C$20)^(1/30))-1)</f>
        <v>300.29313623458387</v>
      </c>
      <c r="AB198" s="84">
        <v>0</v>
      </c>
      <c r="AC198" s="18">
        <f t="shared" si="41"/>
        <v>655480.39082740992</v>
      </c>
      <c r="AD198" s="47">
        <f t="shared" si="48"/>
        <v>0</v>
      </c>
      <c r="AF198" s="83">
        <v>0</v>
      </c>
      <c r="AG198" s="33">
        <f>AI197*(((1+Dashboard!$C$21)^(1/30))-1)</f>
        <v>56.461168488344221</v>
      </c>
      <c r="AH198" s="84">
        <v>0</v>
      </c>
      <c r="AI198" s="29">
        <f t="shared" si="42"/>
        <v>110378.90807079661</v>
      </c>
      <c r="AJ198" s="45">
        <f t="shared" si="49"/>
        <v>0</v>
      </c>
      <c r="AL198" s="83">
        <v>0</v>
      </c>
      <c r="AM198" s="22">
        <v>0</v>
      </c>
      <c r="AN198" s="45">
        <f t="shared" si="50"/>
        <v>0</v>
      </c>
    </row>
    <row r="199" spans="2:40" x14ac:dyDescent="0.25">
      <c r="B199" s="53">
        <f>B198*(((1+Dashboard!$C$20)^(1/30)))</f>
        <v>1092968.0359983905</v>
      </c>
      <c r="C199" s="1">
        <v>195</v>
      </c>
      <c r="D199" s="51">
        <f t="shared" ref="D199:D262" si="51">D198+1</f>
        <v>46368</v>
      </c>
      <c r="E199" s="7">
        <f t="shared" ref="E199:E262" si="52">E198</f>
        <v>9</v>
      </c>
      <c r="F199" s="31">
        <f>E199*Dashboard!$I$3</f>
        <v>15102</v>
      </c>
      <c r="G199" s="18">
        <f>E182*Dashboard!$I$4</f>
        <v>15750</v>
      </c>
      <c r="H199" s="48"/>
      <c r="I199" s="7">
        <f t="shared" ref="I199:I262" si="53">I198</f>
        <v>9</v>
      </c>
      <c r="J199" s="31">
        <f>I199*Dashboard!$I$3</f>
        <v>15102</v>
      </c>
      <c r="K199" s="29">
        <f>I180*Dashboard!$I$4</f>
        <v>15750</v>
      </c>
      <c r="L199" s="48"/>
      <c r="M199" s="7">
        <f t="shared" ref="M199:M262" si="54">M198</f>
        <v>12</v>
      </c>
      <c r="N199" s="31">
        <f>M199*Dashboard!$I$3</f>
        <v>20136</v>
      </c>
      <c r="O199" s="18">
        <f>M178*Dashboard!$I$4</f>
        <v>21000</v>
      </c>
      <c r="P199" s="48"/>
      <c r="Q199" s="32">
        <f t="shared" si="43"/>
        <v>30</v>
      </c>
      <c r="R199" s="31">
        <f t="shared" si="44"/>
        <v>50340</v>
      </c>
      <c r="S199" s="31">
        <f t="shared" si="45"/>
        <v>52500</v>
      </c>
      <c r="T199" s="31">
        <f t="shared" si="46"/>
        <v>2160</v>
      </c>
      <c r="U199" s="31">
        <f>U198-R199+S199+V199-Custos!D199+Z198+AF198+AL198-AB198-AH198-AM198</f>
        <v>117734.99849810322</v>
      </c>
      <c r="V199" s="31">
        <f>U198*(((1+Dashboard!$C$17)^(1/30))-1)</f>
        <v>44.027714124234649</v>
      </c>
      <c r="W199" s="29">
        <f t="shared" si="47"/>
        <v>168074.99849810323</v>
      </c>
      <c r="X199" s="45">
        <f>-R199+S199-Custos!D199</f>
        <v>656.59999999999991</v>
      </c>
      <c r="Z199" s="83">
        <v>0</v>
      </c>
      <c r="AA199" s="33">
        <f>AC198*(((1+Dashboard!$C$20)^(1/30))-1)</f>
        <v>300.43077162367371</v>
      </c>
      <c r="AB199" s="84">
        <v>0</v>
      </c>
      <c r="AC199" s="18">
        <f t="shared" ref="AC199:AC262" si="55">AC198+AA199-AB198+Z199</f>
        <v>655780.82159903354</v>
      </c>
      <c r="AD199" s="47">
        <f t="shared" si="48"/>
        <v>0</v>
      </c>
      <c r="AF199" s="83">
        <v>0</v>
      </c>
      <c r="AG199" s="33">
        <f>AI198*(((1+Dashboard!$C$21)^(1/30))-1)</f>
        <v>56.490064362543706</v>
      </c>
      <c r="AH199" s="84">
        <v>0</v>
      </c>
      <c r="AI199" s="29">
        <f t="shared" ref="AI199:AI262" si="56">AI198+AG199-AH198+AF199</f>
        <v>110435.39813515915</v>
      </c>
      <c r="AJ199" s="45">
        <f t="shared" si="49"/>
        <v>0</v>
      </c>
      <c r="AL199" s="83">
        <v>0</v>
      </c>
      <c r="AM199" s="22">
        <v>0</v>
      </c>
      <c r="AN199" s="45">
        <f t="shared" si="50"/>
        <v>0</v>
      </c>
    </row>
    <row r="200" spans="2:40" x14ac:dyDescent="0.25">
      <c r="B200" s="53">
        <f>B199*(((1+Dashboard!$C$20)^(1/30)))</f>
        <v>1093468.9834485508</v>
      </c>
      <c r="C200" s="1">
        <v>196</v>
      </c>
      <c r="D200" s="51">
        <f t="shared" si="51"/>
        <v>46369</v>
      </c>
      <c r="E200" s="7">
        <f t="shared" si="52"/>
        <v>9</v>
      </c>
      <c r="F200" s="31">
        <f>E200*Dashboard!$I$3</f>
        <v>15102</v>
      </c>
      <c r="G200" s="18">
        <f>E183*Dashboard!$I$4</f>
        <v>15750</v>
      </c>
      <c r="H200" s="48"/>
      <c r="I200" s="7">
        <f t="shared" si="53"/>
        <v>9</v>
      </c>
      <c r="J200" s="31">
        <f>I200*Dashboard!$I$3</f>
        <v>15102</v>
      </c>
      <c r="K200" s="29">
        <f>I181*Dashboard!$I$4</f>
        <v>15750</v>
      </c>
      <c r="L200" s="48"/>
      <c r="M200" s="7">
        <f t="shared" si="54"/>
        <v>12</v>
      </c>
      <c r="N200" s="31">
        <f>M200*Dashboard!$I$3</f>
        <v>20136</v>
      </c>
      <c r="O200" s="18">
        <f>M179*Dashboard!$I$4</f>
        <v>21000</v>
      </c>
      <c r="P200" s="48"/>
      <c r="Q200" s="32">
        <f t="shared" si="43"/>
        <v>30</v>
      </c>
      <c r="R200" s="31">
        <f t="shared" si="44"/>
        <v>50340</v>
      </c>
      <c r="S200" s="31">
        <f t="shared" si="45"/>
        <v>52500</v>
      </c>
      <c r="T200" s="31">
        <f t="shared" si="46"/>
        <v>2160</v>
      </c>
      <c r="U200" s="31">
        <f>U199-R200+S200+V200-Custos!D200+Z199+AF199+AL199-AB199-AH199-AM199</f>
        <v>118435.88978468483</v>
      </c>
      <c r="V200" s="31">
        <f>U199*(((1+Dashboard!$C$17)^(1/30))-1)</f>
        <v>44.291286581610571</v>
      </c>
      <c r="W200" s="29">
        <f t="shared" si="47"/>
        <v>168775.88978468481</v>
      </c>
      <c r="X200" s="45">
        <f>-R200+S200-Custos!D200</f>
        <v>656.59999999999991</v>
      </c>
      <c r="Z200" s="83">
        <v>0</v>
      </c>
      <c r="AA200" s="33">
        <f>AC199*(((1+Dashboard!$C$20)^(1/30))-1)</f>
        <v>300.56847009612449</v>
      </c>
      <c r="AB200" s="84">
        <v>0</v>
      </c>
      <c r="AC200" s="18">
        <f t="shared" si="55"/>
        <v>656081.39006912964</v>
      </c>
      <c r="AD200" s="47">
        <f t="shared" si="48"/>
        <v>0</v>
      </c>
      <c r="AF200" s="83">
        <v>0</v>
      </c>
      <c r="AG200" s="33">
        <f>AI199*(((1+Dashboard!$C$21)^(1/30))-1)</f>
        <v>56.518975025164487</v>
      </c>
      <c r="AH200" s="84">
        <v>0</v>
      </c>
      <c r="AI200" s="29">
        <f t="shared" si="56"/>
        <v>110491.91711018431</v>
      </c>
      <c r="AJ200" s="45">
        <f t="shared" si="49"/>
        <v>0</v>
      </c>
      <c r="AL200" s="83">
        <v>0</v>
      </c>
      <c r="AM200" s="22">
        <v>0</v>
      </c>
      <c r="AN200" s="45">
        <f t="shared" si="50"/>
        <v>0</v>
      </c>
    </row>
    <row r="201" spans="2:40" x14ac:dyDescent="0.25">
      <c r="B201" s="53">
        <f>B200*(((1+Dashboard!$C$20)^(1/30)))</f>
        <v>1093970.1605013523</v>
      </c>
      <c r="C201" s="1">
        <v>197</v>
      </c>
      <c r="D201" s="51">
        <f t="shared" si="51"/>
        <v>46370</v>
      </c>
      <c r="E201" s="7">
        <f t="shared" si="52"/>
        <v>9</v>
      </c>
      <c r="F201" s="31">
        <f>E201*Dashboard!$I$3</f>
        <v>15102</v>
      </c>
      <c r="G201" s="18">
        <f>E184*Dashboard!$I$4</f>
        <v>15750</v>
      </c>
      <c r="H201" s="48"/>
      <c r="I201" s="7">
        <f t="shared" si="53"/>
        <v>9</v>
      </c>
      <c r="J201" s="31">
        <f>I201*Dashboard!$I$3</f>
        <v>15102</v>
      </c>
      <c r="K201" s="29">
        <f>I182*Dashboard!$I$4</f>
        <v>15750</v>
      </c>
      <c r="L201" s="48"/>
      <c r="M201" s="7">
        <f t="shared" si="54"/>
        <v>12</v>
      </c>
      <c r="N201" s="31">
        <f>M201*Dashboard!$I$3</f>
        <v>20136</v>
      </c>
      <c r="O201" s="18">
        <f>M180*Dashboard!$I$4</f>
        <v>21000</v>
      </c>
      <c r="P201" s="48"/>
      <c r="Q201" s="32">
        <f t="shared" si="43"/>
        <v>30</v>
      </c>
      <c r="R201" s="31">
        <f t="shared" si="44"/>
        <v>50340</v>
      </c>
      <c r="S201" s="31">
        <f t="shared" si="45"/>
        <v>52500</v>
      </c>
      <c r="T201" s="31">
        <f t="shared" si="46"/>
        <v>2160</v>
      </c>
      <c r="U201" s="31">
        <f>U200-R201+S201+V201-Custos!D201+Z200+AF200+AL200-AB200-AH200-AM200</f>
        <v>119137.0447428784</v>
      </c>
      <c r="V201" s="31">
        <f>U200*(((1+Dashboard!$C$17)^(1/30))-1)</f>
        <v>44.55495819355729</v>
      </c>
      <c r="W201" s="29">
        <f t="shared" si="47"/>
        <v>169477.04474287841</v>
      </c>
      <c r="X201" s="45">
        <f>-R201+S201-Custos!D201</f>
        <v>656.59999999999991</v>
      </c>
      <c r="Z201" s="83">
        <v>0</v>
      </c>
      <c r="AA201" s="33">
        <f>AC200*(((1+Dashboard!$C$20)^(1/30))-1)</f>
        <v>300.70623168084973</v>
      </c>
      <c r="AB201" s="84">
        <v>0</v>
      </c>
      <c r="AC201" s="18">
        <f t="shared" si="55"/>
        <v>656382.09630081046</v>
      </c>
      <c r="AD201" s="47">
        <f t="shared" si="48"/>
        <v>0</v>
      </c>
      <c r="AF201" s="83">
        <v>0</v>
      </c>
      <c r="AG201" s="33">
        <f>AI200*(((1+Dashboard!$C$21)^(1/30))-1)</f>
        <v>56.547900483775003</v>
      </c>
      <c r="AH201" s="84">
        <v>0</v>
      </c>
      <c r="AI201" s="29">
        <f t="shared" si="56"/>
        <v>110548.46501066808</v>
      </c>
      <c r="AJ201" s="45">
        <f t="shared" si="49"/>
        <v>0</v>
      </c>
      <c r="AL201" s="83">
        <v>0</v>
      </c>
      <c r="AM201" s="22">
        <v>0</v>
      </c>
      <c r="AN201" s="45">
        <f t="shared" si="50"/>
        <v>0</v>
      </c>
    </row>
    <row r="202" spans="2:40" x14ac:dyDescent="0.25">
      <c r="B202" s="53">
        <f>B201*(((1+Dashboard!$C$20)^(1/30)))</f>
        <v>1094471.5672620302</v>
      </c>
      <c r="C202" s="1">
        <v>198</v>
      </c>
      <c r="D202" s="51">
        <f t="shared" si="51"/>
        <v>46371</v>
      </c>
      <c r="E202" s="7">
        <f t="shared" si="52"/>
        <v>9</v>
      </c>
      <c r="F202" s="31">
        <f>E202*Dashboard!$I$3</f>
        <v>15102</v>
      </c>
      <c r="G202" s="18">
        <f>E185*Dashboard!$I$4</f>
        <v>15750</v>
      </c>
      <c r="H202" s="48"/>
      <c r="I202" s="7">
        <f t="shared" si="53"/>
        <v>9</v>
      </c>
      <c r="J202" s="31">
        <f>I202*Dashboard!$I$3</f>
        <v>15102</v>
      </c>
      <c r="K202" s="29">
        <f>I183*Dashboard!$I$4</f>
        <v>15750</v>
      </c>
      <c r="L202" s="48"/>
      <c r="M202" s="7">
        <f t="shared" si="54"/>
        <v>12</v>
      </c>
      <c r="N202" s="31">
        <f>M202*Dashboard!$I$3</f>
        <v>20136</v>
      </c>
      <c r="O202" s="18">
        <f>M181*Dashboard!$I$4</f>
        <v>21000</v>
      </c>
      <c r="P202" s="48"/>
      <c r="Q202" s="32">
        <f t="shared" si="43"/>
        <v>30</v>
      </c>
      <c r="R202" s="31">
        <f t="shared" si="44"/>
        <v>50340</v>
      </c>
      <c r="S202" s="31">
        <f t="shared" si="45"/>
        <v>52500</v>
      </c>
      <c r="T202" s="31">
        <f t="shared" si="46"/>
        <v>2160</v>
      </c>
      <c r="U202" s="31">
        <f>U201-R202+S202+V202-Custos!D202+Z201+AF201+AL201-AB201-AH201-AM201</f>
        <v>119838.46347187577</v>
      </c>
      <c r="V202" s="31">
        <f>U201*(((1+Dashboard!$C$17)^(1/30))-1)</f>
        <v>44.818728997376247</v>
      </c>
      <c r="W202" s="29">
        <f t="shared" si="47"/>
        <v>170178.46347187576</v>
      </c>
      <c r="X202" s="45">
        <f>-R202+S202-Custos!D202</f>
        <v>656.59999999999991</v>
      </c>
      <c r="Z202" s="83">
        <v>0</v>
      </c>
      <c r="AA202" s="33">
        <f>AC201*(((1+Dashboard!$C$20)^(1/30))-1)</f>
        <v>300.84405640677613</v>
      </c>
      <c r="AB202" s="84">
        <v>0</v>
      </c>
      <c r="AC202" s="18">
        <f t="shared" si="55"/>
        <v>656682.94035721722</v>
      </c>
      <c r="AD202" s="47">
        <f t="shared" si="48"/>
        <v>0</v>
      </c>
      <c r="AF202" s="83">
        <v>0</v>
      </c>
      <c r="AG202" s="33">
        <f>AI201*(((1+Dashboard!$C$21)^(1/30))-1)</f>
        <v>56.576840745947607</v>
      </c>
      <c r="AH202" s="84">
        <v>0</v>
      </c>
      <c r="AI202" s="29">
        <f t="shared" si="56"/>
        <v>110605.04185141403</v>
      </c>
      <c r="AJ202" s="45">
        <f t="shared" si="49"/>
        <v>0</v>
      </c>
      <c r="AL202" s="83">
        <v>0</v>
      </c>
      <c r="AM202" s="22">
        <v>0</v>
      </c>
      <c r="AN202" s="45">
        <f t="shared" si="50"/>
        <v>0</v>
      </c>
    </row>
    <row r="203" spans="2:40" x14ac:dyDescent="0.25">
      <c r="B203" s="53">
        <f>B202*(((1+Dashboard!$C$20)^(1/30)))</f>
        <v>1094973.2038358683</v>
      </c>
      <c r="C203" s="1">
        <v>199</v>
      </c>
      <c r="D203" s="51">
        <f t="shared" si="51"/>
        <v>46372</v>
      </c>
      <c r="E203" s="7">
        <f t="shared" si="52"/>
        <v>9</v>
      </c>
      <c r="F203" s="31">
        <f>E203*Dashboard!$I$3</f>
        <v>15102</v>
      </c>
      <c r="G203" s="18">
        <f>E186*Dashboard!$I$4</f>
        <v>15750</v>
      </c>
      <c r="H203" s="48"/>
      <c r="I203" s="7">
        <f t="shared" si="53"/>
        <v>9</v>
      </c>
      <c r="J203" s="31">
        <f>I203*Dashboard!$I$3</f>
        <v>15102</v>
      </c>
      <c r="K203" s="29">
        <f>I184*Dashboard!$I$4</f>
        <v>15750</v>
      </c>
      <c r="L203" s="48"/>
      <c r="M203" s="7">
        <f t="shared" si="54"/>
        <v>12</v>
      </c>
      <c r="N203" s="31">
        <f>M203*Dashboard!$I$3</f>
        <v>20136</v>
      </c>
      <c r="O203" s="18">
        <f>M182*Dashboard!$I$4</f>
        <v>21000</v>
      </c>
      <c r="P203" s="48"/>
      <c r="Q203" s="32">
        <f t="shared" si="43"/>
        <v>30</v>
      </c>
      <c r="R203" s="31">
        <f t="shared" si="44"/>
        <v>50340</v>
      </c>
      <c r="S203" s="31">
        <f t="shared" si="45"/>
        <v>52500</v>
      </c>
      <c r="T203" s="31">
        <f t="shared" si="46"/>
        <v>2160</v>
      </c>
      <c r="U203" s="31">
        <f>U202-R203+S203+V203-Custos!D203+Z202+AF202+AL202-AB202-AH202-AM202</f>
        <v>120540.14607090616</v>
      </c>
      <c r="V203" s="31">
        <f>U202*(((1+Dashboard!$C$17)^(1/30))-1)</f>
        <v>45.082599030382895</v>
      </c>
      <c r="W203" s="29">
        <f t="shared" si="47"/>
        <v>170880.14607090616</v>
      </c>
      <c r="X203" s="45">
        <f>-R203+S203-Custos!D203</f>
        <v>656.59999999999991</v>
      </c>
      <c r="Z203" s="83">
        <v>0</v>
      </c>
      <c r="AA203" s="33">
        <f>AC202*(((1+Dashboard!$C$20)^(1/30))-1)</f>
        <v>300.9819443028436</v>
      </c>
      <c r="AB203" s="84">
        <v>0</v>
      </c>
      <c r="AC203" s="18">
        <f t="shared" si="55"/>
        <v>656983.92230152001</v>
      </c>
      <c r="AD203" s="47">
        <f t="shared" si="48"/>
        <v>0</v>
      </c>
      <c r="AF203" s="83">
        <v>0</v>
      </c>
      <c r="AG203" s="33">
        <f>AI202*(((1+Dashboard!$C$21)^(1/30))-1)</f>
        <v>56.605795819258525</v>
      </c>
      <c r="AH203" s="84">
        <v>0</v>
      </c>
      <c r="AI203" s="29">
        <f t="shared" si="56"/>
        <v>110661.64764723329</v>
      </c>
      <c r="AJ203" s="45">
        <f t="shared" si="49"/>
        <v>0</v>
      </c>
      <c r="AL203" s="83">
        <v>0</v>
      </c>
      <c r="AM203" s="22">
        <v>0</v>
      </c>
      <c r="AN203" s="45">
        <f t="shared" si="50"/>
        <v>0</v>
      </c>
    </row>
    <row r="204" spans="2:40" x14ac:dyDescent="0.25">
      <c r="B204" s="53">
        <f>B203*(((1+Dashboard!$C$20)^(1/30)))</f>
        <v>1095475.0703281984</v>
      </c>
      <c r="C204" s="1">
        <v>200</v>
      </c>
      <c r="D204" s="51">
        <f t="shared" si="51"/>
        <v>46373</v>
      </c>
      <c r="E204" s="7">
        <f t="shared" si="52"/>
        <v>9</v>
      </c>
      <c r="F204" s="31">
        <f>E204*Dashboard!$I$3</f>
        <v>15102</v>
      </c>
      <c r="G204" s="18">
        <f>E187*Dashboard!$I$4</f>
        <v>15750</v>
      </c>
      <c r="H204" s="48"/>
      <c r="I204" s="7">
        <f t="shared" si="53"/>
        <v>9</v>
      </c>
      <c r="J204" s="31">
        <f>I204*Dashboard!$I$3</f>
        <v>15102</v>
      </c>
      <c r="K204" s="29">
        <f>I185*Dashboard!$I$4</f>
        <v>15750</v>
      </c>
      <c r="L204" s="48"/>
      <c r="M204" s="7">
        <f t="shared" si="54"/>
        <v>12</v>
      </c>
      <c r="N204" s="31">
        <f>M204*Dashboard!$I$3</f>
        <v>20136</v>
      </c>
      <c r="O204" s="18">
        <f>M183*Dashboard!$I$4</f>
        <v>21000</v>
      </c>
      <c r="P204" s="48"/>
      <c r="Q204" s="32">
        <f t="shared" si="43"/>
        <v>30</v>
      </c>
      <c r="R204" s="31">
        <f t="shared" si="44"/>
        <v>50340</v>
      </c>
      <c r="S204" s="31">
        <f t="shared" si="45"/>
        <v>52500</v>
      </c>
      <c r="T204" s="31">
        <f t="shared" si="46"/>
        <v>2160</v>
      </c>
      <c r="U204" s="31">
        <f>U203-R204+S204+V204-Custos!D204+Z203+AF203+AL203-AB203-AH203-AM203</f>
        <v>121242.09263923607</v>
      </c>
      <c r="V204" s="31">
        <f>U203*(((1+Dashboard!$C$17)^(1/30))-1)</f>
        <v>45.346568329906738</v>
      </c>
      <c r="W204" s="29">
        <f t="shared" si="47"/>
        <v>171582.09263923607</v>
      </c>
      <c r="X204" s="45">
        <f>-R204+S204-Custos!D204</f>
        <v>656.59999999999991</v>
      </c>
      <c r="Z204" s="83">
        <v>0</v>
      </c>
      <c r="AA204" s="33">
        <f>AC203*(((1+Dashboard!$C$20)^(1/30))-1)</f>
        <v>301.11989539800533</v>
      </c>
      <c r="AB204" s="84">
        <v>0</v>
      </c>
      <c r="AC204" s="18">
        <f t="shared" si="55"/>
        <v>657285.04219691805</v>
      </c>
      <c r="AD204" s="47">
        <f t="shared" si="48"/>
        <v>0</v>
      </c>
      <c r="AF204" s="83">
        <v>0</v>
      </c>
      <c r="AG204" s="33">
        <f>AI203*(((1+Dashboard!$C$21)^(1/30))-1)</f>
        <v>56.63476571128782</v>
      </c>
      <c r="AH204" s="84">
        <v>0</v>
      </c>
      <c r="AI204" s="29">
        <f t="shared" si="56"/>
        <v>110718.28241294458</v>
      </c>
      <c r="AJ204" s="45">
        <f t="shared" si="49"/>
        <v>0</v>
      </c>
      <c r="AL204" s="83">
        <v>0</v>
      </c>
      <c r="AM204" s="22">
        <v>0</v>
      </c>
      <c r="AN204" s="45">
        <f t="shared" si="50"/>
        <v>0</v>
      </c>
    </row>
    <row r="205" spans="2:40" x14ac:dyDescent="0.25">
      <c r="B205" s="53">
        <f>B204*(((1+Dashboard!$C$20)^(1/30)))</f>
        <v>1095977.1668444003</v>
      </c>
      <c r="C205" s="1">
        <v>201</v>
      </c>
      <c r="D205" s="51">
        <f t="shared" si="51"/>
        <v>46374</v>
      </c>
      <c r="E205" s="7">
        <f t="shared" si="52"/>
        <v>9</v>
      </c>
      <c r="F205" s="31">
        <f>E205*Dashboard!$I$3</f>
        <v>15102</v>
      </c>
      <c r="G205" s="18">
        <f>E188*Dashboard!$I$4</f>
        <v>15750</v>
      </c>
      <c r="H205" s="48"/>
      <c r="I205" s="7">
        <f t="shared" si="53"/>
        <v>9</v>
      </c>
      <c r="J205" s="31">
        <f>I205*Dashboard!$I$3</f>
        <v>15102</v>
      </c>
      <c r="K205" s="29">
        <f>I186*Dashboard!$I$4</f>
        <v>15750</v>
      </c>
      <c r="L205" s="48"/>
      <c r="M205" s="7">
        <f t="shared" si="54"/>
        <v>12</v>
      </c>
      <c r="N205" s="31">
        <f>M205*Dashboard!$I$3</f>
        <v>20136</v>
      </c>
      <c r="O205" s="18">
        <f>M184*Dashboard!$I$4</f>
        <v>21000</v>
      </c>
      <c r="P205" s="48"/>
      <c r="Q205" s="32">
        <f t="shared" si="43"/>
        <v>30</v>
      </c>
      <c r="R205" s="31">
        <f t="shared" si="44"/>
        <v>50340</v>
      </c>
      <c r="S205" s="31">
        <f t="shared" si="45"/>
        <v>52500</v>
      </c>
      <c r="T205" s="31">
        <f t="shared" si="46"/>
        <v>2160</v>
      </c>
      <c r="U205" s="31">
        <f>U204-R205+S205+V205-Custos!D205+Z204+AF204+AL204-AB204-AH204-AM204</f>
        <v>121944.30327616936</v>
      </c>
      <c r="V205" s="31">
        <f>U204*(((1+Dashboard!$C$17)^(1/30))-1)</f>
        <v>45.610636933291296</v>
      </c>
      <c r="W205" s="29">
        <f t="shared" si="47"/>
        <v>172284.30327616935</v>
      </c>
      <c r="X205" s="45">
        <f>-R205+S205-Custos!D205</f>
        <v>656.59999999999991</v>
      </c>
      <c r="Z205" s="83">
        <v>0</v>
      </c>
      <c r="AA205" s="33">
        <f>AC204*(((1+Dashboard!$C$20)^(1/30))-1)</f>
        <v>301.25790972122786</v>
      </c>
      <c r="AB205" s="84">
        <v>0</v>
      </c>
      <c r="AC205" s="18">
        <f t="shared" si="55"/>
        <v>657586.30010663928</v>
      </c>
      <c r="AD205" s="47">
        <f t="shared" si="48"/>
        <v>0</v>
      </c>
      <c r="AF205" s="83">
        <v>0</v>
      </c>
      <c r="AG205" s="33">
        <f>AI204*(((1+Dashboard!$C$21)^(1/30))-1)</f>
        <v>56.663750429619483</v>
      </c>
      <c r="AH205" s="84">
        <v>0</v>
      </c>
      <c r="AI205" s="29">
        <f t="shared" si="56"/>
        <v>110774.9461633742</v>
      </c>
      <c r="AJ205" s="45">
        <f t="shared" si="49"/>
        <v>0</v>
      </c>
      <c r="AL205" s="83">
        <v>0</v>
      </c>
      <c r="AM205" s="22">
        <v>0</v>
      </c>
      <c r="AN205" s="45">
        <f t="shared" si="50"/>
        <v>0</v>
      </c>
    </row>
    <row r="206" spans="2:40" x14ac:dyDescent="0.25">
      <c r="B206" s="53">
        <f>B205*(((1+Dashboard!$C$20)^(1/30)))</f>
        <v>1096479.4934899029</v>
      </c>
      <c r="C206" s="1">
        <v>202</v>
      </c>
      <c r="D206" s="51">
        <f t="shared" si="51"/>
        <v>46375</v>
      </c>
      <c r="E206" s="7">
        <f t="shared" si="52"/>
        <v>9</v>
      </c>
      <c r="F206" s="31">
        <f>E206*Dashboard!$I$3</f>
        <v>15102</v>
      </c>
      <c r="G206" s="18">
        <f>E189*Dashboard!$I$4</f>
        <v>15750</v>
      </c>
      <c r="H206" s="48"/>
      <c r="I206" s="7">
        <f t="shared" si="53"/>
        <v>9</v>
      </c>
      <c r="J206" s="31">
        <f>I206*Dashboard!$I$3</f>
        <v>15102</v>
      </c>
      <c r="K206" s="29">
        <f>I187*Dashboard!$I$4</f>
        <v>15750</v>
      </c>
      <c r="L206" s="48"/>
      <c r="M206" s="7">
        <f t="shared" si="54"/>
        <v>12</v>
      </c>
      <c r="N206" s="31">
        <f>M206*Dashboard!$I$3</f>
        <v>20136</v>
      </c>
      <c r="O206" s="18">
        <f>M185*Dashboard!$I$4</f>
        <v>21000</v>
      </c>
      <c r="P206" s="48"/>
      <c r="Q206" s="32">
        <f t="shared" si="43"/>
        <v>30</v>
      </c>
      <c r="R206" s="31">
        <f t="shared" si="44"/>
        <v>50340</v>
      </c>
      <c r="S206" s="31">
        <f t="shared" si="45"/>
        <v>52500</v>
      </c>
      <c r="T206" s="31">
        <f t="shared" si="46"/>
        <v>2160</v>
      </c>
      <c r="U206" s="31">
        <f>U205-R206+S206+V206-Custos!D206+Z205+AF205+AL205-AB205-AH205-AM205</f>
        <v>122646.77808104726</v>
      </c>
      <c r="V206" s="31">
        <f>U205*(((1+Dashboard!$C$17)^(1/30))-1)</f>
        <v>45.874804877894185</v>
      </c>
      <c r="W206" s="29">
        <f t="shared" si="47"/>
        <v>172986.77808104726</v>
      </c>
      <c r="X206" s="45">
        <f>-R206+S206-Custos!D206</f>
        <v>656.59999999999991</v>
      </c>
      <c r="Z206" s="83">
        <v>0</v>
      </c>
      <c r="AA206" s="33">
        <f>AC205*(((1+Dashboard!$C$20)^(1/30))-1)</f>
        <v>301.39598730149083</v>
      </c>
      <c r="AB206" s="84">
        <v>0</v>
      </c>
      <c r="AC206" s="18">
        <f t="shared" si="55"/>
        <v>657887.69609394076</v>
      </c>
      <c r="AD206" s="47">
        <f t="shared" si="48"/>
        <v>0</v>
      </c>
      <c r="AF206" s="83">
        <v>0</v>
      </c>
      <c r="AG206" s="33">
        <f>AI205*(((1+Dashboard!$C$21)^(1/30))-1)</f>
        <v>56.692749981841359</v>
      </c>
      <c r="AH206" s="84">
        <v>0</v>
      </c>
      <c r="AI206" s="29">
        <f t="shared" si="56"/>
        <v>110831.63891335604</v>
      </c>
      <c r="AJ206" s="45">
        <f t="shared" si="49"/>
        <v>0</v>
      </c>
      <c r="AL206" s="83">
        <v>0</v>
      </c>
      <c r="AM206" s="22">
        <v>0</v>
      </c>
      <c r="AN206" s="45">
        <f t="shared" si="50"/>
        <v>0</v>
      </c>
    </row>
    <row r="207" spans="2:40" x14ac:dyDescent="0.25">
      <c r="B207" s="53">
        <f>B206*(((1+Dashboard!$C$20)^(1/30)))</f>
        <v>1096982.0503701826</v>
      </c>
      <c r="C207" s="1">
        <v>203</v>
      </c>
      <c r="D207" s="51">
        <f t="shared" si="51"/>
        <v>46376</v>
      </c>
      <c r="E207" s="7">
        <f t="shared" si="52"/>
        <v>9</v>
      </c>
      <c r="F207" s="31">
        <f>E207*Dashboard!$I$3</f>
        <v>15102</v>
      </c>
      <c r="G207" s="18">
        <f>E190*Dashboard!$I$4</f>
        <v>15750</v>
      </c>
      <c r="H207" s="48"/>
      <c r="I207" s="7">
        <f t="shared" si="53"/>
        <v>9</v>
      </c>
      <c r="J207" s="31">
        <f>I207*Dashboard!$I$3</f>
        <v>15102</v>
      </c>
      <c r="K207" s="29">
        <f>I188*Dashboard!$I$4</f>
        <v>15750</v>
      </c>
      <c r="L207" s="48"/>
      <c r="M207" s="7">
        <f t="shared" si="54"/>
        <v>12</v>
      </c>
      <c r="N207" s="31">
        <f>M207*Dashboard!$I$3</f>
        <v>20136</v>
      </c>
      <c r="O207" s="18">
        <f>M186*Dashboard!$I$4</f>
        <v>21000</v>
      </c>
      <c r="P207" s="48"/>
      <c r="Q207" s="32">
        <f t="shared" si="43"/>
        <v>30</v>
      </c>
      <c r="R207" s="31">
        <f t="shared" si="44"/>
        <v>50340</v>
      </c>
      <c r="S207" s="31">
        <f t="shared" si="45"/>
        <v>52500</v>
      </c>
      <c r="T207" s="31">
        <f t="shared" si="46"/>
        <v>2160</v>
      </c>
      <c r="U207" s="31">
        <f>U206-R207+S207+V207-Custos!D207+Z206+AF206+AL206-AB206-AH206-AM206</f>
        <v>123349.51715324835</v>
      </c>
      <c r="V207" s="31">
        <f>U206*(((1+Dashboard!$C$17)^(1/30))-1)</f>
        <v>46.139072201087032</v>
      </c>
      <c r="W207" s="29">
        <f t="shared" si="47"/>
        <v>173689.51715324837</v>
      </c>
      <c r="X207" s="45">
        <f>-R207+S207-Custos!D207</f>
        <v>656.59999999999991</v>
      </c>
      <c r="Z207" s="83">
        <v>0</v>
      </c>
      <c r="AA207" s="33">
        <f>AC206*(((1+Dashboard!$C$20)^(1/30))-1)</f>
        <v>301.53412816778734</v>
      </c>
      <c r="AB207" s="84">
        <v>0</v>
      </c>
      <c r="AC207" s="18">
        <f t="shared" si="55"/>
        <v>658189.23022210854</v>
      </c>
      <c r="AD207" s="47">
        <f t="shared" si="48"/>
        <v>0</v>
      </c>
      <c r="AF207" s="83">
        <v>0</v>
      </c>
      <c r="AG207" s="33">
        <f>AI206*(((1+Dashboard!$C$21)^(1/30))-1)</f>
        <v>56.721764375545177</v>
      </c>
      <c r="AH207" s="84">
        <v>0</v>
      </c>
      <c r="AI207" s="29">
        <f t="shared" si="56"/>
        <v>110888.36067773159</v>
      </c>
      <c r="AJ207" s="45">
        <f t="shared" si="49"/>
        <v>0</v>
      </c>
      <c r="AL207" s="83">
        <v>0</v>
      </c>
      <c r="AM207" s="22">
        <v>0</v>
      </c>
      <c r="AN207" s="45">
        <f t="shared" si="50"/>
        <v>0</v>
      </c>
    </row>
    <row r="208" spans="2:40" x14ac:dyDescent="0.25">
      <c r="B208" s="53">
        <f>B207*(((1+Dashboard!$C$20)^(1/30)))</f>
        <v>1097484.8375907645</v>
      </c>
      <c r="C208" s="1">
        <v>204</v>
      </c>
      <c r="D208" s="51">
        <f t="shared" si="51"/>
        <v>46377</v>
      </c>
      <c r="E208" s="7">
        <f t="shared" si="52"/>
        <v>9</v>
      </c>
      <c r="F208" s="31">
        <f>E208*Dashboard!$I$3</f>
        <v>15102</v>
      </c>
      <c r="G208" s="18">
        <f>E191*Dashboard!$I$4</f>
        <v>15750</v>
      </c>
      <c r="H208" s="48"/>
      <c r="I208" s="7">
        <f t="shared" si="53"/>
        <v>9</v>
      </c>
      <c r="J208" s="31">
        <f>I208*Dashboard!$I$3</f>
        <v>15102</v>
      </c>
      <c r="K208" s="29">
        <f>I189*Dashboard!$I$4</f>
        <v>15750</v>
      </c>
      <c r="L208" s="48"/>
      <c r="M208" s="7">
        <f t="shared" si="54"/>
        <v>12</v>
      </c>
      <c r="N208" s="31">
        <f>M208*Dashboard!$I$3</f>
        <v>20136</v>
      </c>
      <c r="O208" s="18">
        <f>M187*Dashboard!$I$4</f>
        <v>21000</v>
      </c>
      <c r="P208" s="48"/>
      <c r="Q208" s="32">
        <f t="shared" si="43"/>
        <v>30</v>
      </c>
      <c r="R208" s="31">
        <f t="shared" si="44"/>
        <v>50340</v>
      </c>
      <c r="S208" s="31">
        <f t="shared" si="45"/>
        <v>52500</v>
      </c>
      <c r="T208" s="31">
        <f t="shared" si="46"/>
        <v>2160</v>
      </c>
      <c r="U208" s="31">
        <f>U207-R208+S208+V208-Custos!D208+Z207+AF207+AL207-AB207-AH207-AM207</f>
        <v>124052.52059218861</v>
      </c>
      <c r="V208" s="31">
        <f>U207*(((1+Dashboard!$C$17)^(1/30))-1)</f>
        <v>46.403438940255548</v>
      </c>
      <c r="W208" s="29">
        <f t="shared" si="47"/>
        <v>174392.52059218861</v>
      </c>
      <c r="X208" s="45">
        <f>-R208+S208-Custos!D208</f>
        <v>656.59999999999991</v>
      </c>
      <c r="Z208" s="83">
        <v>0</v>
      </c>
      <c r="AA208" s="33">
        <f>AC207*(((1+Dashboard!$C$20)^(1/30))-1)</f>
        <v>301.67233234912368</v>
      </c>
      <c r="AB208" s="84">
        <v>0</v>
      </c>
      <c r="AC208" s="18">
        <f t="shared" si="55"/>
        <v>658490.90255445766</v>
      </c>
      <c r="AD208" s="47">
        <f t="shared" si="48"/>
        <v>0</v>
      </c>
      <c r="AF208" s="83">
        <v>0</v>
      </c>
      <c r="AG208" s="33">
        <f>AI207*(((1+Dashboard!$C$21)^(1/30))-1)</f>
        <v>56.750793618326561</v>
      </c>
      <c r="AH208" s="84">
        <v>0</v>
      </c>
      <c r="AI208" s="29">
        <f t="shared" si="56"/>
        <v>110945.11147134991</v>
      </c>
      <c r="AJ208" s="45">
        <f t="shared" si="49"/>
        <v>0</v>
      </c>
      <c r="AL208" s="83">
        <v>0</v>
      </c>
      <c r="AM208" s="22">
        <v>0</v>
      </c>
      <c r="AN208" s="45">
        <f t="shared" si="50"/>
        <v>0</v>
      </c>
    </row>
    <row r="209" spans="2:40" x14ac:dyDescent="0.25">
      <c r="B209" s="53">
        <f>B208*(((1+Dashboard!$C$20)^(1/30)))</f>
        <v>1097987.855257222</v>
      </c>
      <c r="C209" s="1">
        <v>205</v>
      </c>
      <c r="D209" s="51">
        <f t="shared" si="51"/>
        <v>46378</v>
      </c>
      <c r="E209" s="7">
        <f t="shared" si="52"/>
        <v>9</v>
      </c>
      <c r="F209" s="31">
        <f>E209*Dashboard!$I$3</f>
        <v>15102</v>
      </c>
      <c r="G209" s="18">
        <f>E192*Dashboard!$I$4</f>
        <v>15750</v>
      </c>
      <c r="H209" s="48"/>
      <c r="I209" s="7">
        <f t="shared" si="53"/>
        <v>9</v>
      </c>
      <c r="J209" s="31">
        <f>I209*Dashboard!$I$3</f>
        <v>15102</v>
      </c>
      <c r="K209" s="29">
        <f>I190*Dashboard!$I$4</f>
        <v>15750</v>
      </c>
      <c r="L209" s="48"/>
      <c r="M209" s="7">
        <f t="shared" si="54"/>
        <v>12</v>
      </c>
      <c r="N209" s="31">
        <f>M209*Dashboard!$I$3</f>
        <v>20136</v>
      </c>
      <c r="O209" s="18">
        <f>M188*Dashboard!$I$4</f>
        <v>21000</v>
      </c>
      <c r="P209" s="48"/>
      <c r="Q209" s="32">
        <f t="shared" si="43"/>
        <v>30</v>
      </c>
      <c r="R209" s="31">
        <f t="shared" si="44"/>
        <v>50340</v>
      </c>
      <c r="S209" s="31">
        <f t="shared" si="45"/>
        <v>52500</v>
      </c>
      <c r="T209" s="31">
        <f t="shared" si="46"/>
        <v>2160</v>
      </c>
      <c r="U209" s="31">
        <f>U208-R209+S209+V209-Custos!D209+Z208+AF208+AL208-AB208-AH208-AM208</f>
        <v>124755.78849732141</v>
      </c>
      <c r="V209" s="31">
        <f>U208*(((1+Dashboard!$C$17)^(1/30))-1)</f>
        <v>46.667905132799497</v>
      </c>
      <c r="W209" s="29">
        <f t="shared" si="47"/>
        <v>175095.78849732142</v>
      </c>
      <c r="X209" s="45">
        <f>-R209+S209-Custos!D209</f>
        <v>656.59999999999991</v>
      </c>
      <c r="Z209" s="83">
        <v>0</v>
      </c>
      <c r="AA209" s="33">
        <f>AC208*(((1+Dashboard!$C$20)^(1/30))-1)</f>
        <v>301.81059987451943</v>
      </c>
      <c r="AB209" s="84">
        <v>0</v>
      </c>
      <c r="AC209" s="18">
        <f t="shared" si="55"/>
        <v>658792.71315433213</v>
      </c>
      <c r="AD209" s="47">
        <f t="shared" si="48"/>
        <v>0</v>
      </c>
      <c r="AF209" s="83">
        <v>0</v>
      </c>
      <c r="AG209" s="33">
        <f>AI208*(((1+Dashboard!$C$21)^(1/30))-1)</f>
        <v>56.779837717785021</v>
      </c>
      <c r="AH209" s="84">
        <v>0</v>
      </c>
      <c r="AI209" s="29">
        <f t="shared" si="56"/>
        <v>111001.89130906769</v>
      </c>
      <c r="AJ209" s="45">
        <f t="shared" si="49"/>
        <v>0</v>
      </c>
      <c r="AL209" s="83">
        <v>0</v>
      </c>
      <c r="AM209" s="22">
        <v>0</v>
      </c>
      <c r="AN209" s="45">
        <f t="shared" si="50"/>
        <v>0</v>
      </c>
    </row>
    <row r="210" spans="2:40" x14ac:dyDescent="0.25">
      <c r="B210" s="53">
        <f>B209*(((1+Dashboard!$C$20)^(1/30)))</f>
        <v>1098491.103475177</v>
      </c>
      <c r="C210" s="1">
        <v>206</v>
      </c>
      <c r="D210" s="51">
        <f t="shared" si="51"/>
        <v>46379</v>
      </c>
      <c r="E210" s="7">
        <f t="shared" si="52"/>
        <v>9</v>
      </c>
      <c r="F210" s="31">
        <f>E210*Dashboard!$I$3</f>
        <v>15102</v>
      </c>
      <c r="G210" s="18">
        <f>E193*Dashboard!$I$4</f>
        <v>15750</v>
      </c>
      <c r="H210" s="48"/>
      <c r="I210" s="7">
        <f t="shared" si="53"/>
        <v>9</v>
      </c>
      <c r="J210" s="31">
        <f>I210*Dashboard!$I$3</f>
        <v>15102</v>
      </c>
      <c r="K210" s="29">
        <f>I191*Dashboard!$I$4</f>
        <v>15750</v>
      </c>
      <c r="L210" s="48"/>
      <c r="M210" s="7">
        <f t="shared" si="54"/>
        <v>12</v>
      </c>
      <c r="N210" s="31">
        <f>M210*Dashboard!$I$3</f>
        <v>20136</v>
      </c>
      <c r="O210" s="18">
        <f>M189*Dashboard!$I$4</f>
        <v>21000</v>
      </c>
      <c r="P210" s="48"/>
      <c r="Q210" s="32">
        <f t="shared" si="43"/>
        <v>30</v>
      </c>
      <c r="R210" s="31">
        <f t="shared" si="44"/>
        <v>50340</v>
      </c>
      <c r="S210" s="31">
        <f t="shared" si="45"/>
        <v>52500</v>
      </c>
      <c r="T210" s="31">
        <f t="shared" si="46"/>
        <v>2160</v>
      </c>
      <c r="U210" s="31">
        <f>U209-R210+S210+V210-Custos!D210+Z209+AF209+AL209-AB209-AH209-AM209</f>
        <v>125459.32096813754</v>
      </c>
      <c r="V210" s="31">
        <f>U209*(((1+Dashboard!$C$17)^(1/30))-1)</f>
        <v>46.932470816132714</v>
      </c>
      <c r="W210" s="29">
        <f t="shared" si="47"/>
        <v>175799.32096813753</v>
      </c>
      <c r="X210" s="45">
        <f>-R210+S210-Custos!D210</f>
        <v>656.59999999999991</v>
      </c>
      <c r="Z210" s="83">
        <v>0</v>
      </c>
      <c r="AA210" s="33">
        <f>AC209*(((1+Dashboard!$C$20)^(1/30))-1)</f>
        <v>301.94893077300753</v>
      </c>
      <c r="AB210" s="84">
        <v>0</v>
      </c>
      <c r="AC210" s="18">
        <f t="shared" si="55"/>
        <v>659094.66208510508</v>
      </c>
      <c r="AD210" s="47">
        <f t="shared" si="48"/>
        <v>0</v>
      </c>
      <c r="AF210" s="83">
        <v>0</v>
      </c>
      <c r="AG210" s="33">
        <f>AI209*(((1+Dashboard!$C$21)^(1/30))-1)</f>
        <v>56.808896681523954</v>
      </c>
      <c r="AH210" s="84">
        <v>0</v>
      </c>
      <c r="AI210" s="29">
        <f t="shared" si="56"/>
        <v>111058.70020574922</v>
      </c>
      <c r="AJ210" s="45">
        <f t="shared" si="49"/>
        <v>0</v>
      </c>
      <c r="AL210" s="83">
        <v>0</v>
      </c>
      <c r="AM210" s="22">
        <v>0</v>
      </c>
      <c r="AN210" s="45">
        <f t="shared" si="50"/>
        <v>0</v>
      </c>
    </row>
    <row r="211" spans="2:40" x14ac:dyDescent="0.25">
      <c r="B211" s="53">
        <f>B210*(((1+Dashboard!$C$20)^(1/30)))</f>
        <v>1098994.5823502997</v>
      </c>
      <c r="C211" s="1">
        <v>207</v>
      </c>
      <c r="D211" s="51">
        <f t="shared" si="51"/>
        <v>46380</v>
      </c>
      <c r="E211" s="7">
        <f t="shared" si="52"/>
        <v>9</v>
      </c>
      <c r="F211" s="31">
        <f>E211*Dashboard!$I$3</f>
        <v>15102</v>
      </c>
      <c r="G211" s="18">
        <f>E194*Dashboard!$I$4</f>
        <v>15750</v>
      </c>
      <c r="H211" s="48"/>
      <c r="I211" s="7">
        <f t="shared" si="53"/>
        <v>9</v>
      </c>
      <c r="J211" s="31">
        <f>I211*Dashboard!$I$3</f>
        <v>15102</v>
      </c>
      <c r="K211" s="29">
        <f>I192*Dashboard!$I$4</f>
        <v>15750</v>
      </c>
      <c r="L211" s="48"/>
      <c r="M211" s="7">
        <f t="shared" si="54"/>
        <v>12</v>
      </c>
      <c r="N211" s="31">
        <f>M211*Dashboard!$I$3</f>
        <v>20136</v>
      </c>
      <c r="O211" s="18">
        <f>M190*Dashboard!$I$4</f>
        <v>21000</v>
      </c>
      <c r="P211" s="48"/>
      <c r="Q211" s="32">
        <f t="shared" si="43"/>
        <v>30</v>
      </c>
      <c r="R211" s="31">
        <f t="shared" si="44"/>
        <v>50340</v>
      </c>
      <c r="S211" s="31">
        <f t="shared" si="45"/>
        <v>52500</v>
      </c>
      <c r="T211" s="31">
        <f t="shared" si="46"/>
        <v>2160</v>
      </c>
      <c r="U211" s="31">
        <f>U210-R211+S211+V211-Custos!D211+Z210+AF210+AL210-AB210-AH210-AM210</f>
        <v>126163.11810416523</v>
      </c>
      <c r="V211" s="31">
        <f>U210*(((1+Dashboard!$C$17)^(1/30))-1)</f>
        <v>47.197136027683108</v>
      </c>
      <c r="W211" s="29">
        <f t="shared" si="47"/>
        <v>176503.11810416525</v>
      </c>
      <c r="X211" s="45">
        <f>-R211+S211-Custos!D211</f>
        <v>656.59999999999991</v>
      </c>
      <c r="Z211" s="83">
        <v>0</v>
      </c>
      <c r="AA211" s="33">
        <f>AC210*(((1+Dashboard!$C$20)^(1/30))-1)</f>
        <v>302.08732507363425</v>
      </c>
      <c r="AB211" s="84">
        <v>0</v>
      </c>
      <c r="AC211" s="18">
        <f t="shared" si="55"/>
        <v>659396.74941017875</v>
      </c>
      <c r="AD211" s="47">
        <f t="shared" si="48"/>
        <v>0</v>
      </c>
      <c r="AF211" s="83">
        <v>0</v>
      </c>
      <c r="AG211" s="33">
        <f>AI210*(((1+Dashboard!$C$21)^(1/30))-1)</f>
        <v>56.837970517150652</v>
      </c>
      <c r="AH211" s="84">
        <v>0</v>
      </c>
      <c r="AI211" s="29">
        <f t="shared" si="56"/>
        <v>111115.53817626637</v>
      </c>
      <c r="AJ211" s="45">
        <f t="shared" si="49"/>
        <v>0</v>
      </c>
      <c r="AL211" s="83">
        <v>0</v>
      </c>
      <c r="AM211" s="22">
        <v>0</v>
      </c>
      <c r="AN211" s="45">
        <f t="shared" si="50"/>
        <v>0</v>
      </c>
    </row>
    <row r="212" spans="2:40" x14ac:dyDescent="0.25">
      <c r="B212" s="53">
        <f>B211*(((1+Dashboard!$C$20)^(1/30)))</f>
        <v>1099498.2919883088</v>
      </c>
      <c r="C212" s="1">
        <v>208</v>
      </c>
      <c r="D212" s="51">
        <f t="shared" si="51"/>
        <v>46381</v>
      </c>
      <c r="E212" s="7">
        <f t="shared" si="52"/>
        <v>9</v>
      </c>
      <c r="F212" s="31">
        <f>E212*Dashboard!$I$3</f>
        <v>15102</v>
      </c>
      <c r="G212" s="18">
        <f>E195*Dashboard!$I$4</f>
        <v>15750</v>
      </c>
      <c r="H212" s="48"/>
      <c r="I212" s="7">
        <f t="shared" si="53"/>
        <v>9</v>
      </c>
      <c r="J212" s="31">
        <f>I212*Dashboard!$I$3</f>
        <v>15102</v>
      </c>
      <c r="K212" s="29">
        <f>I193*Dashboard!$I$4</f>
        <v>15750</v>
      </c>
      <c r="L212" s="48"/>
      <c r="M212" s="7">
        <f t="shared" si="54"/>
        <v>12</v>
      </c>
      <c r="N212" s="31">
        <f>M212*Dashboard!$I$3</f>
        <v>20136</v>
      </c>
      <c r="O212" s="18">
        <f>M191*Dashboard!$I$4</f>
        <v>21000</v>
      </c>
      <c r="P212" s="48"/>
      <c r="Q212" s="32">
        <f t="shared" si="43"/>
        <v>30</v>
      </c>
      <c r="R212" s="31">
        <f t="shared" si="44"/>
        <v>50340</v>
      </c>
      <c r="S212" s="31">
        <f t="shared" si="45"/>
        <v>52500</v>
      </c>
      <c r="T212" s="31">
        <f t="shared" si="46"/>
        <v>2160</v>
      </c>
      <c r="U212" s="31">
        <f>U211-R212+S212+V212-Custos!D212+Z211+AF211+AL211-AB211-AH211-AM211</f>
        <v>126867.18000497013</v>
      </c>
      <c r="V212" s="31">
        <f>U211*(((1+Dashboard!$C$17)^(1/30))-1)</f>
        <v>47.461900804892679</v>
      </c>
      <c r="W212" s="29">
        <f t="shared" si="47"/>
        <v>177207.18000497011</v>
      </c>
      <c r="X212" s="45">
        <f>-R212+S212-Custos!D212</f>
        <v>656.59999999999991</v>
      </c>
      <c r="Z212" s="83">
        <v>0</v>
      </c>
      <c r="AA212" s="33">
        <f>AC211*(((1+Dashboard!$C$20)^(1/30))-1)</f>
        <v>302.22578280545906</v>
      </c>
      <c r="AB212" s="84">
        <v>0</v>
      </c>
      <c r="AC212" s="18">
        <f t="shared" si="55"/>
        <v>659698.97519298422</v>
      </c>
      <c r="AD212" s="47">
        <f t="shared" si="48"/>
        <v>0</v>
      </c>
      <c r="AF212" s="83">
        <v>0</v>
      </c>
      <c r="AG212" s="33">
        <f>AI211*(((1+Dashboard!$C$21)^(1/30))-1)</f>
        <v>56.86705923227629</v>
      </c>
      <c r="AH212" s="84">
        <v>0</v>
      </c>
      <c r="AI212" s="29">
        <f t="shared" si="56"/>
        <v>111172.40523549865</v>
      </c>
      <c r="AJ212" s="45">
        <f t="shared" si="49"/>
        <v>0</v>
      </c>
      <c r="AL212" s="83">
        <v>0</v>
      </c>
      <c r="AM212" s="22">
        <v>0</v>
      </c>
      <c r="AN212" s="45">
        <f t="shared" si="50"/>
        <v>0</v>
      </c>
    </row>
    <row r="213" spans="2:40" x14ac:dyDescent="0.25">
      <c r="B213" s="53">
        <f>B212*(((1+Dashboard!$C$20)^(1/30)))</f>
        <v>1100002.2324949715</v>
      </c>
      <c r="C213" s="1">
        <v>209</v>
      </c>
      <c r="D213" s="51">
        <f t="shared" si="51"/>
        <v>46382</v>
      </c>
      <c r="E213" s="7">
        <f t="shared" si="52"/>
        <v>9</v>
      </c>
      <c r="F213" s="31">
        <f>E213*Dashboard!$I$3</f>
        <v>15102</v>
      </c>
      <c r="G213" s="18">
        <f>E196*Dashboard!$I$4</f>
        <v>15750</v>
      </c>
      <c r="H213" s="48"/>
      <c r="I213" s="7">
        <f t="shared" si="53"/>
        <v>9</v>
      </c>
      <c r="J213" s="31">
        <f>I213*Dashboard!$I$3</f>
        <v>15102</v>
      </c>
      <c r="K213" s="29">
        <f>I194*Dashboard!$I$4</f>
        <v>15750</v>
      </c>
      <c r="L213" s="48"/>
      <c r="M213" s="7">
        <f t="shared" si="54"/>
        <v>12</v>
      </c>
      <c r="N213" s="31">
        <f>M213*Dashboard!$I$3</f>
        <v>20136</v>
      </c>
      <c r="O213" s="18">
        <f>M192*Dashboard!$I$4</f>
        <v>21000</v>
      </c>
      <c r="P213" s="48"/>
      <c r="Q213" s="32">
        <f t="shared" si="43"/>
        <v>30</v>
      </c>
      <c r="R213" s="31">
        <f t="shared" si="44"/>
        <v>50340</v>
      </c>
      <c r="S213" s="31">
        <f t="shared" si="45"/>
        <v>52500</v>
      </c>
      <c r="T213" s="31">
        <f t="shared" si="46"/>
        <v>2160</v>
      </c>
      <c r="U213" s="31">
        <f>U212-R213+S213+V213-Custos!D213+Z212+AF212+AL212-AB212-AH212-AM212</f>
        <v>127571.50677015535</v>
      </c>
      <c r="V213" s="31">
        <f>U212*(((1+Dashboard!$C$17)^(1/30))-1)</f>
        <v>47.726765185217488</v>
      </c>
      <c r="W213" s="29">
        <f t="shared" si="47"/>
        <v>177911.50677015533</v>
      </c>
      <c r="X213" s="45">
        <f>-R213+S213-Custos!D213</f>
        <v>656.59999999999991</v>
      </c>
      <c r="Z213" s="83">
        <v>0</v>
      </c>
      <c r="AA213" s="33">
        <f>AC212*(((1+Dashboard!$C$20)^(1/30))-1)</f>
        <v>302.36430399755483</v>
      </c>
      <c r="AB213" s="84">
        <v>0</v>
      </c>
      <c r="AC213" s="18">
        <f t="shared" si="55"/>
        <v>660001.33949698182</v>
      </c>
      <c r="AD213" s="47">
        <f t="shared" si="48"/>
        <v>0</v>
      </c>
      <c r="AF213" s="83">
        <v>0</v>
      </c>
      <c r="AG213" s="33">
        <f>AI212*(((1+Dashboard!$C$21)^(1/30))-1)</f>
        <v>56.896162834515941</v>
      </c>
      <c r="AH213" s="84">
        <v>0</v>
      </c>
      <c r="AI213" s="29">
        <f t="shared" si="56"/>
        <v>111229.30139833316</v>
      </c>
      <c r="AJ213" s="45">
        <f t="shared" si="49"/>
        <v>0</v>
      </c>
      <c r="AL213" s="83">
        <v>0</v>
      </c>
      <c r="AM213" s="22">
        <v>0</v>
      </c>
      <c r="AN213" s="45">
        <f t="shared" si="50"/>
        <v>0</v>
      </c>
    </row>
    <row r="214" spans="2:40" x14ac:dyDescent="0.25">
      <c r="B214" s="53">
        <f>B213*(((1+Dashboard!$C$20)^(1/30)))</f>
        <v>1100506.4039761031</v>
      </c>
      <c r="C214" s="1">
        <v>210</v>
      </c>
      <c r="D214" s="51">
        <f t="shared" si="51"/>
        <v>46383</v>
      </c>
      <c r="E214" s="7">
        <f t="shared" si="52"/>
        <v>9</v>
      </c>
      <c r="F214" s="31">
        <f>E214*Dashboard!$I$3</f>
        <v>15102</v>
      </c>
      <c r="G214" s="18">
        <f>E197*Dashboard!$I$4</f>
        <v>15750</v>
      </c>
      <c r="H214" s="48"/>
      <c r="I214" s="7">
        <f t="shared" si="53"/>
        <v>9</v>
      </c>
      <c r="J214" s="31">
        <f>I214*Dashboard!$I$3</f>
        <v>15102</v>
      </c>
      <c r="K214" s="29">
        <f>I195*Dashboard!$I$4</f>
        <v>15750</v>
      </c>
      <c r="L214" s="48"/>
      <c r="M214" s="7">
        <f t="shared" si="54"/>
        <v>12</v>
      </c>
      <c r="N214" s="31">
        <f>M214*Dashboard!$I$3</f>
        <v>20136</v>
      </c>
      <c r="O214" s="18">
        <f>M193*Dashboard!$I$4</f>
        <v>21000</v>
      </c>
      <c r="P214" s="48"/>
      <c r="Q214" s="32">
        <f t="shared" si="43"/>
        <v>30</v>
      </c>
      <c r="R214" s="31">
        <f t="shared" si="44"/>
        <v>50340</v>
      </c>
      <c r="S214" s="31">
        <f t="shared" si="45"/>
        <v>52500</v>
      </c>
      <c r="T214" s="31">
        <f t="shared" si="46"/>
        <v>2160</v>
      </c>
      <c r="U214" s="31">
        <f>U213-R214+S214+V214-Custos!D214+Z213+AF213+AL213-AB213-AH213-AM213</f>
        <v>128276.09849936148</v>
      </c>
      <c r="V214" s="31">
        <f>U213*(((1+Dashboard!$C$17)^(1/30))-1)</f>
        <v>47.991729206127722</v>
      </c>
      <c r="W214" s="29">
        <f t="shared" si="47"/>
        <v>178616.09849936148</v>
      </c>
      <c r="X214" s="45">
        <f>-R214+S214-Custos!D214</f>
        <v>656.59999999999991</v>
      </c>
      <c r="Z214" s="83">
        <v>0</v>
      </c>
      <c r="AA214" s="33">
        <f>AC213*(((1+Dashboard!$C$20)^(1/30))-1)</f>
        <v>302.50288867900775</v>
      </c>
      <c r="AB214" s="84">
        <v>0</v>
      </c>
      <c r="AC214" s="18">
        <f t="shared" si="55"/>
        <v>660303.84238566086</v>
      </c>
      <c r="AD214" s="47">
        <f t="shared" si="48"/>
        <v>0</v>
      </c>
      <c r="AF214" s="83">
        <v>0</v>
      </c>
      <c r="AG214" s="33">
        <f>AI213*(((1+Dashboard!$C$21)^(1/30))-1)</f>
        <v>56.925281331488591</v>
      </c>
      <c r="AH214" s="84">
        <v>0</v>
      </c>
      <c r="AI214" s="29">
        <f t="shared" si="56"/>
        <v>111286.22667966464</v>
      </c>
      <c r="AJ214" s="45">
        <f t="shared" si="49"/>
        <v>0</v>
      </c>
      <c r="AL214" s="83">
        <v>0</v>
      </c>
      <c r="AM214" s="22">
        <v>0</v>
      </c>
      <c r="AN214" s="45">
        <f t="shared" si="50"/>
        <v>0</v>
      </c>
    </row>
    <row r="215" spans="2:40" x14ac:dyDescent="0.25">
      <c r="B215" s="53">
        <f>B214*(((1+Dashboard!$C$20)^(1/30)))</f>
        <v>1101010.8065375679</v>
      </c>
      <c r="C215" s="1">
        <v>211</v>
      </c>
      <c r="D215" s="51">
        <f t="shared" si="51"/>
        <v>46384</v>
      </c>
      <c r="E215" s="7">
        <f t="shared" si="52"/>
        <v>9</v>
      </c>
      <c r="F215" s="31">
        <f>E215*Dashboard!$I$3</f>
        <v>15102</v>
      </c>
      <c r="G215" s="18">
        <f>E198*Dashboard!$I$4</f>
        <v>15750</v>
      </c>
      <c r="H215" s="48"/>
      <c r="I215" s="7">
        <f t="shared" si="53"/>
        <v>9</v>
      </c>
      <c r="J215" s="31">
        <f>I215*Dashboard!$I$3</f>
        <v>15102</v>
      </c>
      <c r="K215" s="29">
        <f>I196*Dashboard!$I$4</f>
        <v>15750</v>
      </c>
      <c r="L215" s="48"/>
      <c r="M215" s="7">
        <f t="shared" si="54"/>
        <v>12</v>
      </c>
      <c r="N215" s="31">
        <f>M215*Dashboard!$I$3</f>
        <v>20136</v>
      </c>
      <c r="O215" s="18">
        <f>M194*Dashboard!$I$4</f>
        <v>21000</v>
      </c>
      <c r="P215" s="48"/>
      <c r="Q215" s="32">
        <f t="shared" si="43"/>
        <v>30</v>
      </c>
      <c r="R215" s="31">
        <f t="shared" si="44"/>
        <v>50340</v>
      </c>
      <c r="S215" s="31">
        <f t="shared" si="45"/>
        <v>52500</v>
      </c>
      <c r="T215" s="31">
        <f t="shared" si="46"/>
        <v>2160</v>
      </c>
      <c r="U215" s="31">
        <f>U214-R215+S215+V215-Custos!D215+Z214+AF214+AL214-AB214-AH214-AM214</f>
        <v>128980.9552922666</v>
      </c>
      <c r="V215" s="31">
        <f>U214*(((1+Dashboard!$C$17)^(1/30))-1)</f>
        <v>48.256792905107631</v>
      </c>
      <c r="W215" s="29">
        <f t="shared" si="47"/>
        <v>179320.95529226662</v>
      </c>
      <c r="X215" s="45">
        <f>-R215+S215-Custos!D215</f>
        <v>656.59999999999991</v>
      </c>
      <c r="Z215" s="83">
        <v>0</v>
      </c>
      <c r="AA215" s="33">
        <f>AC214*(((1+Dashboard!$C$20)^(1/30))-1)</f>
        <v>302.64153687891729</v>
      </c>
      <c r="AB215" s="84">
        <v>0</v>
      </c>
      <c r="AC215" s="18">
        <f t="shared" si="55"/>
        <v>660606.48392253974</v>
      </c>
      <c r="AD215" s="47">
        <f t="shared" si="48"/>
        <v>0</v>
      </c>
      <c r="AF215" s="83">
        <v>0</v>
      </c>
      <c r="AG215" s="33">
        <f>AI214*(((1+Dashboard!$C$21)^(1/30))-1)</f>
        <v>56.954414730817099</v>
      </c>
      <c r="AH215" s="84">
        <v>0</v>
      </c>
      <c r="AI215" s="29">
        <f t="shared" si="56"/>
        <v>111343.18109439546</v>
      </c>
      <c r="AJ215" s="45">
        <f t="shared" si="49"/>
        <v>0</v>
      </c>
      <c r="AL215" s="83">
        <v>0</v>
      </c>
      <c r="AM215" s="22">
        <v>0</v>
      </c>
      <c r="AN215" s="45">
        <f t="shared" si="50"/>
        <v>0</v>
      </c>
    </row>
    <row r="216" spans="2:40" x14ac:dyDescent="0.25">
      <c r="B216" s="53">
        <f>B215*(((1+Dashboard!$C$20)^(1/30)))</f>
        <v>1101515.4402852785</v>
      </c>
      <c r="C216" s="1">
        <v>212</v>
      </c>
      <c r="D216" s="51">
        <f t="shared" si="51"/>
        <v>46385</v>
      </c>
      <c r="E216" s="7">
        <f t="shared" si="52"/>
        <v>9</v>
      </c>
      <c r="F216" s="31">
        <f>E216*Dashboard!$I$3</f>
        <v>15102</v>
      </c>
      <c r="G216" s="18">
        <f>E199*Dashboard!$I$4</f>
        <v>15750</v>
      </c>
      <c r="H216" s="48"/>
      <c r="I216" s="7">
        <f t="shared" si="53"/>
        <v>9</v>
      </c>
      <c r="J216" s="31">
        <f>I216*Dashboard!$I$3</f>
        <v>15102</v>
      </c>
      <c r="K216" s="29">
        <f>I197*Dashboard!$I$4</f>
        <v>15750</v>
      </c>
      <c r="L216" s="48"/>
      <c r="M216" s="7">
        <f t="shared" si="54"/>
        <v>12</v>
      </c>
      <c r="N216" s="31">
        <f>M216*Dashboard!$I$3</f>
        <v>20136</v>
      </c>
      <c r="O216" s="18">
        <f>M195*Dashboard!$I$4</f>
        <v>21000</v>
      </c>
      <c r="P216" s="48"/>
      <c r="Q216" s="32">
        <f t="shared" si="43"/>
        <v>30</v>
      </c>
      <c r="R216" s="31">
        <f t="shared" si="44"/>
        <v>50340</v>
      </c>
      <c r="S216" s="31">
        <f t="shared" si="45"/>
        <v>52500</v>
      </c>
      <c r="T216" s="31">
        <f t="shared" si="46"/>
        <v>2160</v>
      </c>
      <c r="U216" s="31">
        <f>U215-R216+S216+V216-Custos!D216+Z215+AF215+AL215-AB215-AH215-AM215</f>
        <v>129686.07724858628</v>
      </c>
      <c r="V216" s="31">
        <f>U215*(((1+Dashboard!$C$17)^(1/30))-1)</f>
        <v>48.521956319655587</v>
      </c>
      <c r="W216" s="29">
        <f t="shared" si="47"/>
        <v>180026.07724858628</v>
      </c>
      <c r="X216" s="45">
        <f>-R216+S216-Custos!D216</f>
        <v>656.59999999999991</v>
      </c>
      <c r="Z216" s="83">
        <v>0</v>
      </c>
      <c r="AA216" s="33">
        <f>AC215*(((1+Dashboard!$C$20)^(1/30))-1)</f>
        <v>302.78024862639631</v>
      </c>
      <c r="AB216" s="84">
        <v>0</v>
      </c>
      <c r="AC216" s="18">
        <f t="shared" si="55"/>
        <v>660909.26417116611</v>
      </c>
      <c r="AD216" s="47">
        <f t="shared" si="48"/>
        <v>0</v>
      </c>
      <c r="AF216" s="83">
        <v>0</v>
      </c>
      <c r="AG216" s="33">
        <f>AI215*(((1+Dashboard!$C$21)^(1/30))-1)</f>
        <v>56.983563040128253</v>
      </c>
      <c r="AH216" s="84">
        <v>0</v>
      </c>
      <c r="AI216" s="29">
        <f t="shared" si="56"/>
        <v>111400.16465743558</v>
      </c>
      <c r="AJ216" s="45">
        <f t="shared" si="49"/>
        <v>0</v>
      </c>
      <c r="AL216" s="83">
        <v>0</v>
      </c>
      <c r="AM216" s="22">
        <v>0</v>
      </c>
      <c r="AN216" s="45">
        <f t="shared" si="50"/>
        <v>0</v>
      </c>
    </row>
    <row r="217" spans="2:40" x14ac:dyDescent="0.25">
      <c r="B217" s="53">
        <f>B216*(((1+Dashboard!$C$20)^(1/30)))</f>
        <v>1102020.3053251961</v>
      </c>
      <c r="C217" s="1">
        <v>213</v>
      </c>
      <c r="D217" s="51">
        <f t="shared" si="51"/>
        <v>46386</v>
      </c>
      <c r="E217" s="7">
        <f t="shared" si="52"/>
        <v>9</v>
      </c>
      <c r="F217" s="31">
        <f>E217*Dashboard!$I$3</f>
        <v>15102</v>
      </c>
      <c r="G217" s="18">
        <f>E200*Dashboard!$I$4</f>
        <v>15750</v>
      </c>
      <c r="H217" s="48"/>
      <c r="I217" s="7">
        <f t="shared" si="53"/>
        <v>9</v>
      </c>
      <c r="J217" s="31">
        <f>I217*Dashboard!$I$3</f>
        <v>15102</v>
      </c>
      <c r="K217" s="29">
        <f>I198*Dashboard!$I$4</f>
        <v>15750</v>
      </c>
      <c r="L217" s="48"/>
      <c r="M217" s="7">
        <f t="shared" si="54"/>
        <v>12</v>
      </c>
      <c r="N217" s="31">
        <f>M217*Dashboard!$I$3</f>
        <v>20136</v>
      </c>
      <c r="O217" s="18">
        <f>M196*Dashboard!$I$4</f>
        <v>21000</v>
      </c>
      <c r="P217" s="48"/>
      <c r="Q217" s="32">
        <f t="shared" si="43"/>
        <v>30</v>
      </c>
      <c r="R217" s="31">
        <f t="shared" si="44"/>
        <v>50340</v>
      </c>
      <c r="S217" s="31">
        <f t="shared" si="45"/>
        <v>52500</v>
      </c>
      <c r="T217" s="31">
        <f t="shared" si="46"/>
        <v>2160</v>
      </c>
      <c r="U217" s="31">
        <f>U216-R217+S217+V217-Custos!D217+Z216+AF216+AL216-AB216-AH216-AM216</f>
        <v>130391.46446807357</v>
      </c>
      <c r="V217" s="31">
        <f>U216*(((1+Dashboard!$C$17)^(1/30))-1)</f>
        <v>48.787219487284069</v>
      </c>
      <c r="W217" s="29">
        <f t="shared" si="47"/>
        <v>180731.46446807357</v>
      </c>
      <c r="X217" s="45">
        <f>-R217+S217-Custos!D217</f>
        <v>656.59999999999991</v>
      </c>
      <c r="Z217" s="83">
        <v>0</v>
      </c>
      <c r="AA217" s="33">
        <f>AC216*(((1+Dashboard!$C$20)^(1/30))-1)</f>
        <v>302.91902395057099</v>
      </c>
      <c r="AB217" s="84">
        <v>0</v>
      </c>
      <c r="AC217" s="18">
        <f t="shared" si="55"/>
        <v>661212.1831951167</v>
      </c>
      <c r="AD217" s="47">
        <f t="shared" si="48"/>
        <v>0</v>
      </c>
      <c r="AF217" s="83">
        <v>0</v>
      </c>
      <c r="AG217" s="33">
        <f>AI216*(((1+Dashboard!$C$21)^(1/30))-1)</f>
        <v>57.01272626705272</v>
      </c>
      <c r="AH217" s="84">
        <v>0</v>
      </c>
      <c r="AI217" s="29">
        <f t="shared" si="56"/>
        <v>111457.17738370264</v>
      </c>
      <c r="AJ217" s="45">
        <f t="shared" si="49"/>
        <v>0</v>
      </c>
      <c r="AL217" s="83">
        <v>0</v>
      </c>
      <c r="AM217" s="22">
        <v>0</v>
      </c>
      <c r="AN217" s="45">
        <f t="shared" si="50"/>
        <v>0</v>
      </c>
    </row>
    <row r="218" spans="2:40" x14ac:dyDescent="0.25">
      <c r="B218" s="53">
        <f>B217*(((1+Dashboard!$C$20)^(1/30)))</f>
        <v>1102525.4017633304</v>
      </c>
      <c r="C218" s="1">
        <v>214</v>
      </c>
      <c r="D218" s="51">
        <f t="shared" si="51"/>
        <v>46387</v>
      </c>
      <c r="E218" s="7">
        <f t="shared" si="52"/>
        <v>9</v>
      </c>
      <c r="F218" s="31">
        <f>E218*Dashboard!$I$3</f>
        <v>15102</v>
      </c>
      <c r="G218" s="18">
        <f>E201*Dashboard!$I$4</f>
        <v>15750</v>
      </c>
      <c r="H218" s="48"/>
      <c r="I218" s="7">
        <f t="shared" si="53"/>
        <v>9</v>
      </c>
      <c r="J218" s="31">
        <f>I218*Dashboard!$I$3</f>
        <v>15102</v>
      </c>
      <c r="K218" s="29">
        <f>I199*Dashboard!$I$4</f>
        <v>15750</v>
      </c>
      <c r="L218" s="48"/>
      <c r="M218" s="7">
        <f t="shared" si="54"/>
        <v>12</v>
      </c>
      <c r="N218" s="31">
        <f>M218*Dashboard!$I$3</f>
        <v>20136</v>
      </c>
      <c r="O218" s="18">
        <f>M197*Dashboard!$I$4</f>
        <v>21000</v>
      </c>
      <c r="P218" s="48"/>
      <c r="Q218" s="32">
        <f t="shared" si="43"/>
        <v>30</v>
      </c>
      <c r="R218" s="31">
        <f t="shared" si="44"/>
        <v>50340</v>
      </c>
      <c r="S218" s="31">
        <f t="shared" si="45"/>
        <v>52500</v>
      </c>
      <c r="T218" s="31">
        <f t="shared" si="46"/>
        <v>2160</v>
      </c>
      <c r="U218" s="31">
        <f>U217-R218+S218+V218-Custos!D218+Z217+AF217+AL217-AB217-AH217-AM217</f>
        <v>131097.1170505191</v>
      </c>
      <c r="V218" s="31">
        <f>U217*(((1+Dashboard!$C$17)^(1/30))-1)</f>
        <v>49.052582445519633</v>
      </c>
      <c r="W218" s="29">
        <f t="shared" si="47"/>
        <v>181437.1170505191</v>
      </c>
      <c r="X218" s="45">
        <f>-R218+S218-Custos!D218</f>
        <v>656.59999999999991</v>
      </c>
      <c r="Z218" s="83">
        <v>0</v>
      </c>
      <c r="AA218" s="33">
        <f>AC217*(((1+Dashboard!$C$20)^(1/30))-1)</f>
        <v>303.05786288058096</v>
      </c>
      <c r="AB218" s="84">
        <v>0</v>
      </c>
      <c r="AC218" s="18">
        <f t="shared" si="55"/>
        <v>661515.24105799722</v>
      </c>
      <c r="AD218" s="47">
        <f t="shared" si="48"/>
        <v>0</v>
      </c>
      <c r="AF218" s="83">
        <v>0</v>
      </c>
      <c r="AG218" s="33">
        <f>AI217*(((1+Dashboard!$C$21)^(1/30))-1)</f>
        <v>57.041904419225091</v>
      </c>
      <c r="AH218" s="84">
        <v>0</v>
      </c>
      <c r="AI218" s="29">
        <f t="shared" si="56"/>
        <v>111514.21928812187</v>
      </c>
      <c r="AJ218" s="45">
        <f t="shared" si="49"/>
        <v>0</v>
      </c>
      <c r="AL218" s="83">
        <v>0</v>
      </c>
      <c r="AM218" s="22">
        <v>0</v>
      </c>
      <c r="AN218" s="45">
        <f t="shared" si="50"/>
        <v>0</v>
      </c>
    </row>
    <row r="219" spans="2:40" x14ac:dyDescent="0.25">
      <c r="B219" s="53">
        <f>B218*(((1+Dashboard!$C$20)^(1/30)))</f>
        <v>1103030.7297057398</v>
      </c>
      <c r="C219" s="1">
        <v>215</v>
      </c>
      <c r="D219" s="51">
        <f t="shared" si="51"/>
        <v>46388</v>
      </c>
      <c r="E219" s="7">
        <f t="shared" si="52"/>
        <v>9</v>
      </c>
      <c r="F219" s="31">
        <f>E219*Dashboard!$I$3</f>
        <v>15102</v>
      </c>
      <c r="G219" s="18">
        <f>E202*Dashboard!$I$4</f>
        <v>15750</v>
      </c>
      <c r="H219" s="48"/>
      <c r="I219" s="7">
        <f t="shared" si="53"/>
        <v>9</v>
      </c>
      <c r="J219" s="31">
        <f>I219*Dashboard!$I$3</f>
        <v>15102</v>
      </c>
      <c r="K219" s="29">
        <f>I200*Dashboard!$I$4</f>
        <v>15750</v>
      </c>
      <c r="L219" s="48"/>
      <c r="M219" s="7">
        <f t="shared" si="54"/>
        <v>12</v>
      </c>
      <c r="N219" s="31">
        <f>M219*Dashboard!$I$3</f>
        <v>20136</v>
      </c>
      <c r="O219" s="18">
        <f>M198*Dashboard!$I$4</f>
        <v>21000</v>
      </c>
      <c r="P219" s="48"/>
      <c r="Q219" s="32">
        <f t="shared" si="43"/>
        <v>30</v>
      </c>
      <c r="R219" s="31">
        <f t="shared" si="44"/>
        <v>50340</v>
      </c>
      <c r="S219" s="31">
        <f t="shared" si="45"/>
        <v>52500</v>
      </c>
      <c r="T219" s="31">
        <f t="shared" si="46"/>
        <v>2160</v>
      </c>
      <c r="U219" s="31">
        <f>U218-R219+S219+V219-Custos!D219+Z218+AF218+AL218-AB218-AH218-AM218</f>
        <v>131803.03509575099</v>
      </c>
      <c r="V219" s="31">
        <f>U218*(((1+Dashboard!$C$17)^(1/30))-1)</f>
        <v>49.318045231903007</v>
      </c>
      <c r="W219" s="29">
        <f t="shared" si="47"/>
        <v>182143.03509575099</v>
      </c>
      <c r="X219" s="45">
        <f>-R219+S219-Custos!D219</f>
        <v>656.59999999999991</v>
      </c>
      <c r="Z219" s="83">
        <v>0</v>
      </c>
      <c r="AA219" s="33">
        <f>AC218*(((1+Dashboard!$C$20)^(1/30))-1)</f>
        <v>303.19676544557893</v>
      </c>
      <c r="AB219" s="84">
        <v>0</v>
      </c>
      <c r="AC219" s="18">
        <f t="shared" si="55"/>
        <v>661818.43782344274</v>
      </c>
      <c r="AD219" s="47">
        <f t="shared" si="48"/>
        <v>0</v>
      </c>
      <c r="AF219" s="83">
        <v>0</v>
      </c>
      <c r="AG219" s="33">
        <f>AI218*(((1+Dashboard!$C$21)^(1/30))-1)</f>
        <v>57.071097504283856</v>
      </c>
      <c r="AH219" s="84">
        <v>0</v>
      </c>
      <c r="AI219" s="29">
        <f t="shared" si="56"/>
        <v>111571.29038562615</v>
      </c>
      <c r="AJ219" s="45">
        <f t="shared" si="49"/>
        <v>0</v>
      </c>
      <c r="AL219" s="83">
        <v>0</v>
      </c>
      <c r="AM219" s="22">
        <v>0</v>
      </c>
      <c r="AN219" s="45">
        <f t="shared" si="50"/>
        <v>0</v>
      </c>
    </row>
    <row r="220" spans="2:40" x14ac:dyDescent="0.25">
      <c r="B220" s="53">
        <f>B219*(((1+Dashboard!$C$20)^(1/30)))</f>
        <v>1103536.2892585311</v>
      </c>
      <c r="C220" s="1">
        <v>216</v>
      </c>
      <c r="D220" s="51">
        <f t="shared" si="51"/>
        <v>46389</v>
      </c>
      <c r="E220" s="7">
        <f t="shared" si="52"/>
        <v>9</v>
      </c>
      <c r="F220" s="31">
        <f>E220*Dashboard!$I$3</f>
        <v>15102</v>
      </c>
      <c r="G220" s="18">
        <f>E203*Dashboard!$I$4</f>
        <v>15750</v>
      </c>
      <c r="H220" s="48"/>
      <c r="I220" s="7">
        <f t="shared" si="53"/>
        <v>9</v>
      </c>
      <c r="J220" s="31">
        <f>I220*Dashboard!$I$3</f>
        <v>15102</v>
      </c>
      <c r="K220" s="29">
        <f>I201*Dashboard!$I$4</f>
        <v>15750</v>
      </c>
      <c r="L220" s="48"/>
      <c r="M220" s="7">
        <f t="shared" si="54"/>
        <v>12</v>
      </c>
      <c r="N220" s="31">
        <f>M220*Dashboard!$I$3</f>
        <v>20136</v>
      </c>
      <c r="O220" s="18">
        <f>M199*Dashboard!$I$4</f>
        <v>21000</v>
      </c>
      <c r="P220" s="48"/>
      <c r="Q220" s="32">
        <f t="shared" si="43"/>
        <v>30</v>
      </c>
      <c r="R220" s="31">
        <f t="shared" si="44"/>
        <v>50340</v>
      </c>
      <c r="S220" s="31">
        <f t="shared" si="45"/>
        <v>52500</v>
      </c>
      <c r="T220" s="31">
        <f t="shared" si="46"/>
        <v>2160</v>
      </c>
      <c r="U220" s="31">
        <f>U219-R220+S220+V220-Custos!D220+Z219+AF219+AL219-AB219-AH219-AM219</f>
        <v>132509.21870363498</v>
      </c>
      <c r="V220" s="31">
        <f>U219*(((1+Dashboard!$C$17)^(1/30))-1)</f>
        <v>49.583607883988996</v>
      </c>
      <c r="W220" s="29">
        <f t="shared" si="47"/>
        <v>182849.21870363498</v>
      </c>
      <c r="X220" s="45">
        <f>-R220+S220-Custos!D220</f>
        <v>656.59999999999991</v>
      </c>
      <c r="Z220" s="83">
        <v>0</v>
      </c>
      <c r="AA220" s="33">
        <f>AC219*(((1+Dashboard!$C$20)^(1/30))-1)</f>
        <v>303.33573167473128</v>
      </c>
      <c r="AB220" s="84">
        <v>0</v>
      </c>
      <c r="AC220" s="18">
        <f t="shared" si="55"/>
        <v>662121.77355511743</v>
      </c>
      <c r="AD220" s="47">
        <f t="shared" si="48"/>
        <v>0</v>
      </c>
      <c r="AF220" s="83">
        <v>0</v>
      </c>
      <c r="AG220" s="33">
        <f>AI219*(((1+Dashboard!$C$21)^(1/30))-1)</f>
        <v>57.100305529871413</v>
      </c>
      <c r="AH220" s="84">
        <v>0</v>
      </c>
      <c r="AI220" s="29">
        <f t="shared" si="56"/>
        <v>111628.39069115602</v>
      </c>
      <c r="AJ220" s="45">
        <f t="shared" si="49"/>
        <v>0</v>
      </c>
      <c r="AL220" s="83">
        <v>0</v>
      </c>
      <c r="AM220" s="22">
        <v>0</v>
      </c>
      <c r="AN220" s="45">
        <f t="shared" si="50"/>
        <v>0</v>
      </c>
    </row>
    <row r="221" spans="2:40" x14ac:dyDescent="0.25">
      <c r="B221" s="53">
        <f>B220*(((1+Dashboard!$C$20)^(1/30)))</f>
        <v>1104042.0805278597</v>
      </c>
      <c r="C221" s="1">
        <v>217</v>
      </c>
      <c r="D221" s="51">
        <f t="shared" si="51"/>
        <v>46390</v>
      </c>
      <c r="E221" s="7">
        <f t="shared" si="52"/>
        <v>9</v>
      </c>
      <c r="F221" s="31">
        <f>E221*Dashboard!$I$3</f>
        <v>15102</v>
      </c>
      <c r="G221" s="18">
        <f>E204*Dashboard!$I$4</f>
        <v>15750</v>
      </c>
      <c r="H221" s="48"/>
      <c r="I221" s="7">
        <f t="shared" si="53"/>
        <v>9</v>
      </c>
      <c r="J221" s="31">
        <f>I221*Dashboard!$I$3</f>
        <v>15102</v>
      </c>
      <c r="K221" s="29">
        <f>I202*Dashboard!$I$4</f>
        <v>15750</v>
      </c>
      <c r="L221" s="48"/>
      <c r="M221" s="7">
        <f t="shared" si="54"/>
        <v>12</v>
      </c>
      <c r="N221" s="31">
        <f>M221*Dashboard!$I$3</f>
        <v>20136</v>
      </c>
      <c r="O221" s="18">
        <f>M200*Dashboard!$I$4</f>
        <v>21000</v>
      </c>
      <c r="P221" s="48"/>
      <c r="Q221" s="32">
        <f t="shared" si="43"/>
        <v>30</v>
      </c>
      <c r="R221" s="31">
        <f t="shared" si="44"/>
        <v>50340</v>
      </c>
      <c r="S221" s="31">
        <f t="shared" si="45"/>
        <v>52500</v>
      </c>
      <c r="T221" s="31">
        <f t="shared" si="46"/>
        <v>2160</v>
      </c>
      <c r="U221" s="31">
        <f>U220-R221+S221+V221-Custos!D221+Z220+AF220+AL220-AB220-AH220-AM220</f>
        <v>133215.66797407434</v>
      </c>
      <c r="V221" s="31">
        <f>U220*(((1+Dashboard!$C$17)^(1/30))-1)</f>
        <v>49.849270439346562</v>
      </c>
      <c r="W221" s="29">
        <f t="shared" si="47"/>
        <v>183555.66797407434</v>
      </c>
      <c r="X221" s="45">
        <f>-R221+S221-Custos!D221</f>
        <v>656.59999999999991</v>
      </c>
      <c r="Z221" s="83">
        <v>0</v>
      </c>
      <c r="AA221" s="33">
        <f>AC220*(((1+Dashboard!$C$20)^(1/30))-1)</f>
        <v>303.47476159721765</v>
      </c>
      <c r="AB221" s="84">
        <v>0</v>
      </c>
      <c r="AC221" s="18">
        <f t="shared" si="55"/>
        <v>662425.24831671466</v>
      </c>
      <c r="AD221" s="47">
        <f t="shared" si="48"/>
        <v>0</v>
      </c>
      <c r="AF221" s="83">
        <v>0</v>
      </c>
      <c r="AG221" s="33">
        <f>AI220*(((1+Dashboard!$C$21)^(1/30))-1)</f>
        <v>57.129528503634063</v>
      </c>
      <c r="AH221" s="84">
        <v>0</v>
      </c>
      <c r="AI221" s="29">
        <f t="shared" si="56"/>
        <v>111685.52021965965</v>
      </c>
      <c r="AJ221" s="45">
        <f t="shared" si="49"/>
        <v>0</v>
      </c>
      <c r="AL221" s="83">
        <v>0</v>
      </c>
      <c r="AM221" s="22">
        <v>0</v>
      </c>
      <c r="AN221" s="45">
        <f t="shared" si="50"/>
        <v>0</v>
      </c>
    </row>
    <row r="222" spans="2:40" x14ac:dyDescent="0.25">
      <c r="B222" s="53">
        <f>B221*(((1+Dashboard!$C$20)^(1/30)))</f>
        <v>1104548.1036199301</v>
      </c>
      <c r="C222" s="1">
        <v>218</v>
      </c>
      <c r="D222" s="51">
        <f t="shared" si="51"/>
        <v>46391</v>
      </c>
      <c r="E222" s="7">
        <f t="shared" si="52"/>
        <v>9</v>
      </c>
      <c r="F222" s="31">
        <f>E222*Dashboard!$I$3</f>
        <v>15102</v>
      </c>
      <c r="G222" s="18">
        <f>E205*Dashboard!$I$4</f>
        <v>15750</v>
      </c>
      <c r="H222" s="48"/>
      <c r="I222" s="7">
        <f t="shared" si="53"/>
        <v>9</v>
      </c>
      <c r="J222" s="31">
        <f>I222*Dashboard!$I$3</f>
        <v>15102</v>
      </c>
      <c r="K222" s="29">
        <f>I203*Dashboard!$I$4</f>
        <v>15750</v>
      </c>
      <c r="L222" s="48"/>
      <c r="M222" s="7">
        <f t="shared" si="54"/>
        <v>12</v>
      </c>
      <c r="N222" s="31">
        <f>M222*Dashboard!$I$3</f>
        <v>20136</v>
      </c>
      <c r="O222" s="18">
        <f>M201*Dashboard!$I$4</f>
        <v>21000</v>
      </c>
      <c r="P222" s="48"/>
      <c r="Q222" s="32">
        <f t="shared" si="43"/>
        <v>30</v>
      </c>
      <c r="R222" s="31">
        <f t="shared" si="44"/>
        <v>50340</v>
      </c>
      <c r="S222" s="31">
        <f t="shared" si="45"/>
        <v>52500</v>
      </c>
      <c r="T222" s="31">
        <f t="shared" si="46"/>
        <v>2160</v>
      </c>
      <c r="U222" s="31">
        <f>U221-R222+S222+V222-Custos!D222+Z221+AF221+AL221-AB221-AH221-AM221</f>
        <v>133922.38300700992</v>
      </c>
      <c r="V222" s="31">
        <f>U221*(((1+Dashboard!$C$17)^(1/30))-1)</f>
        <v>50.115032935558794</v>
      </c>
      <c r="W222" s="29">
        <f t="shared" si="47"/>
        <v>184262.38300700992</v>
      </c>
      <c r="X222" s="45">
        <f>-R222+S222-Custos!D222</f>
        <v>656.59999999999991</v>
      </c>
      <c r="Z222" s="83">
        <v>0</v>
      </c>
      <c r="AA222" s="33">
        <f>AC221*(((1+Dashboard!$C$20)^(1/30))-1)</f>
        <v>303.61385524223101</v>
      </c>
      <c r="AB222" s="84">
        <v>0</v>
      </c>
      <c r="AC222" s="18">
        <f t="shared" si="55"/>
        <v>662728.86217195692</v>
      </c>
      <c r="AD222" s="47">
        <f t="shared" si="48"/>
        <v>0</v>
      </c>
      <c r="AF222" s="83">
        <v>0</v>
      </c>
      <c r="AG222" s="33">
        <f>AI221*(((1+Dashboard!$C$21)^(1/30))-1)</f>
        <v>57.158766433222041</v>
      </c>
      <c r="AH222" s="84">
        <v>0</v>
      </c>
      <c r="AI222" s="29">
        <f t="shared" si="56"/>
        <v>111742.67898609287</v>
      </c>
      <c r="AJ222" s="45">
        <f t="shared" si="49"/>
        <v>0</v>
      </c>
      <c r="AL222" s="83">
        <v>0</v>
      </c>
      <c r="AM222" s="22">
        <v>0</v>
      </c>
      <c r="AN222" s="45">
        <f t="shared" si="50"/>
        <v>0</v>
      </c>
    </row>
    <row r="223" spans="2:40" x14ac:dyDescent="0.25">
      <c r="B223" s="53">
        <f>B222*(((1+Dashboard!$C$20)^(1/30)))</f>
        <v>1105054.3586409951</v>
      </c>
      <c r="C223" s="1">
        <v>219</v>
      </c>
      <c r="D223" s="51">
        <f t="shared" si="51"/>
        <v>46392</v>
      </c>
      <c r="E223" s="7">
        <f t="shared" si="52"/>
        <v>9</v>
      </c>
      <c r="F223" s="31">
        <f>E223*Dashboard!$I$3</f>
        <v>15102</v>
      </c>
      <c r="G223" s="18">
        <f>E206*Dashboard!$I$4</f>
        <v>15750</v>
      </c>
      <c r="H223" s="48"/>
      <c r="I223" s="7">
        <f t="shared" si="53"/>
        <v>9</v>
      </c>
      <c r="J223" s="31">
        <f>I223*Dashboard!$I$3</f>
        <v>15102</v>
      </c>
      <c r="K223" s="29">
        <f>I204*Dashboard!$I$4</f>
        <v>15750</v>
      </c>
      <c r="L223" s="48"/>
      <c r="M223" s="7">
        <f t="shared" si="54"/>
        <v>12</v>
      </c>
      <c r="N223" s="31">
        <f>M223*Dashboard!$I$3</f>
        <v>20136</v>
      </c>
      <c r="O223" s="18">
        <f>M202*Dashboard!$I$4</f>
        <v>21000</v>
      </c>
      <c r="P223" s="48"/>
      <c r="Q223" s="32">
        <f t="shared" si="43"/>
        <v>30</v>
      </c>
      <c r="R223" s="31">
        <f t="shared" si="44"/>
        <v>50340</v>
      </c>
      <c r="S223" s="31">
        <f t="shared" si="45"/>
        <v>52500</v>
      </c>
      <c r="T223" s="31">
        <f t="shared" si="46"/>
        <v>2160</v>
      </c>
      <c r="U223" s="31">
        <f>U222-R223+S223+V223-Custos!D223+Z222+AF222+AL222-AB222-AH222-AM222</f>
        <v>134629.36390242015</v>
      </c>
      <c r="V223" s="31">
        <f>U222*(((1+Dashboard!$C$17)^(1/30))-1)</f>
        <v>50.380895410222912</v>
      </c>
      <c r="W223" s="29">
        <f t="shared" si="47"/>
        <v>184969.36390242015</v>
      </c>
      <c r="X223" s="45">
        <f>-R223+S223-Custos!D223</f>
        <v>656.59999999999991</v>
      </c>
      <c r="Z223" s="83">
        <v>0</v>
      </c>
      <c r="AA223" s="33">
        <f>AC222*(((1+Dashboard!$C$20)^(1/30))-1)</f>
        <v>303.75301263897774</v>
      </c>
      <c r="AB223" s="84">
        <v>0</v>
      </c>
      <c r="AC223" s="18">
        <f t="shared" si="55"/>
        <v>663032.61518459592</v>
      </c>
      <c r="AD223" s="47">
        <f t="shared" si="48"/>
        <v>0</v>
      </c>
      <c r="AF223" s="83">
        <v>0</v>
      </c>
      <c r="AG223" s="33">
        <f>AI222*(((1+Dashboard!$C$21)^(1/30))-1)</f>
        <v>57.188019326289485</v>
      </c>
      <c r="AH223" s="84">
        <v>0</v>
      </c>
      <c r="AI223" s="29">
        <f t="shared" si="56"/>
        <v>111799.86700541916</v>
      </c>
      <c r="AJ223" s="45">
        <f t="shared" si="49"/>
        <v>0</v>
      </c>
      <c r="AL223" s="83">
        <v>0</v>
      </c>
      <c r="AM223" s="22">
        <v>0</v>
      </c>
      <c r="AN223" s="45">
        <f t="shared" si="50"/>
        <v>0</v>
      </c>
    </row>
    <row r="224" spans="2:40" x14ac:dyDescent="0.25">
      <c r="B224" s="53">
        <f>B223*(((1+Dashboard!$C$20)^(1/30)))</f>
        <v>1105560.8456973562</v>
      </c>
      <c r="C224" s="1">
        <v>220</v>
      </c>
      <c r="D224" s="51">
        <f t="shared" si="51"/>
        <v>46393</v>
      </c>
      <c r="E224" s="7">
        <f t="shared" si="52"/>
        <v>9</v>
      </c>
      <c r="F224" s="31">
        <f>E224*Dashboard!$I$3</f>
        <v>15102</v>
      </c>
      <c r="G224" s="18">
        <f>E207*Dashboard!$I$4</f>
        <v>15750</v>
      </c>
      <c r="H224" s="48"/>
      <c r="I224" s="7">
        <f t="shared" si="53"/>
        <v>9</v>
      </c>
      <c r="J224" s="31">
        <f>I224*Dashboard!$I$3</f>
        <v>15102</v>
      </c>
      <c r="K224" s="29">
        <f>I205*Dashboard!$I$4</f>
        <v>15750</v>
      </c>
      <c r="L224" s="48"/>
      <c r="M224" s="7">
        <f t="shared" si="54"/>
        <v>12</v>
      </c>
      <c r="N224" s="31">
        <f>M224*Dashboard!$I$3</f>
        <v>20136</v>
      </c>
      <c r="O224" s="18">
        <f>M203*Dashboard!$I$4</f>
        <v>21000</v>
      </c>
      <c r="P224" s="48"/>
      <c r="Q224" s="32">
        <f t="shared" si="43"/>
        <v>30</v>
      </c>
      <c r="R224" s="31">
        <f t="shared" si="44"/>
        <v>50340</v>
      </c>
      <c r="S224" s="31">
        <f t="shared" si="45"/>
        <v>52500</v>
      </c>
      <c r="T224" s="31">
        <f t="shared" si="46"/>
        <v>2160</v>
      </c>
      <c r="U224" s="31">
        <f>U223-R224+S224+V224-Custos!D224+Z223+AF223+AL223-AB223-AH223-AM223</f>
        <v>135336.61076032111</v>
      </c>
      <c r="V224" s="31">
        <f>U223*(((1+Dashboard!$C$17)^(1/30))-1)</f>
        <v>50.64685790095028</v>
      </c>
      <c r="W224" s="29">
        <f t="shared" si="47"/>
        <v>185676.61076032111</v>
      </c>
      <c r="X224" s="45">
        <f>-R224+S224-Custos!D224</f>
        <v>656.59999999999991</v>
      </c>
      <c r="Z224" s="83">
        <v>0</v>
      </c>
      <c r="AA224" s="33">
        <f>AC223*(((1+Dashboard!$C$20)^(1/30))-1)</f>
        <v>303.89223381667756</v>
      </c>
      <c r="AB224" s="84">
        <v>0</v>
      </c>
      <c r="AC224" s="18">
        <f t="shared" si="55"/>
        <v>663336.5074184126</v>
      </c>
      <c r="AD224" s="47">
        <f t="shared" si="48"/>
        <v>0</v>
      </c>
      <c r="AF224" s="83">
        <v>0</v>
      </c>
      <c r="AG224" s="33">
        <f>AI223*(((1+Dashboard!$C$21)^(1/30))-1)</f>
        <v>57.217287190494453</v>
      </c>
      <c r="AH224" s="84">
        <v>0</v>
      </c>
      <c r="AI224" s="29">
        <f t="shared" si="56"/>
        <v>111857.08429260965</v>
      </c>
      <c r="AJ224" s="45">
        <f t="shared" si="49"/>
        <v>0</v>
      </c>
      <c r="AL224" s="83">
        <v>0</v>
      </c>
      <c r="AM224" s="22">
        <v>0</v>
      </c>
      <c r="AN224" s="45">
        <f t="shared" si="50"/>
        <v>0</v>
      </c>
    </row>
    <row r="225" spans="2:40" x14ac:dyDescent="0.25">
      <c r="B225" s="53">
        <f>B224*(((1+Dashboard!$C$20)^(1/30)))</f>
        <v>1106067.5648953638</v>
      </c>
      <c r="C225" s="1">
        <v>221</v>
      </c>
      <c r="D225" s="51">
        <f t="shared" si="51"/>
        <v>46394</v>
      </c>
      <c r="E225" s="7">
        <f t="shared" si="52"/>
        <v>9</v>
      </c>
      <c r="F225" s="31">
        <f>E225*Dashboard!$I$3</f>
        <v>15102</v>
      </c>
      <c r="G225" s="18">
        <f>E208*Dashboard!$I$4</f>
        <v>15750</v>
      </c>
      <c r="H225" s="48"/>
      <c r="I225" s="7">
        <f t="shared" si="53"/>
        <v>9</v>
      </c>
      <c r="J225" s="31">
        <f>I225*Dashboard!$I$3</f>
        <v>15102</v>
      </c>
      <c r="K225" s="29">
        <f>I206*Dashboard!$I$4</f>
        <v>15750</v>
      </c>
      <c r="L225" s="48"/>
      <c r="M225" s="7">
        <f t="shared" si="54"/>
        <v>12</v>
      </c>
      <c r="N225" s="31">
        <f>M225*Dashboard!$I$3</f>
        <v>20136</v>
      </c>
      <c r="O225" s="18">
        <f>M204*Dashboard!$I$4</f>
        <v>21000</v>
      </c>
      <c r="P225" s="48"/>
      <c r="Q225" s="32">
        <f t="shared" si="43"/>
        <v>30</v>
      </c>
      <c r="R225" s="31">
        <f t="shared" si="44"/>
        <v>50340</v>
      </c>
      <c r="S225" s="31">
        <f t="shared" si="45"/>
        <v>52500</v>
      </c>
      <c r="T225" s="31">
        <f t="shared" si="46"/>
        <v>2160</v>
      </c>
      <c r="U225" s="31">
        <f>U224-R225+S225+V225-Custos!D225+Z224+AF224+AL224-AB224-AH224-AM224</f>
        <v>136044.1236807665</v>
      </c>
      <c r="V225" s="31">
        <f>U224*(((1+Dashboard!$C$17)^(1/30))-1)</f>
        <v>50.91292044536641</v>
      </c>
      <c r="W225" s="29">
        <f t="shared" si="47"/>
        <v>186384.1236807665</v>
      </c>
      <c r="X225" s="45">
        <f>-R225+S225-Custos!D225</f>
        <v>656.59999999999991</v>
      </c>
      <c r="Z225" s="83">
        <v>0</v>
      </c>
      <c r="AA225" s="33">
        <f>AC224*(((1+Dashboard!$C$20)^(1/30))-1)</f>
        <v>304.03151880456369</v>
      </c>
      <c r="AB225" s="84">
        <v>0</v>
      </c>
      <c r="AC225" s="18">
        <f t="shared" si="55"/>
        <v>663640.53893721721</v>
      </c>
      <c r="AD225" s="47">
        <f t="shared" si="48"/>
        <v>0</v>
      </c>
      <c r="AF225" s="83">
        <v>0</v>
      </c>
      <c r="AG225" s="33">
        <f>AI224*(((1+Dashboard!$C$21)^(1/30))-1)</f>
        <v>57.246570033498912</v>
      </c>
      <c r="AH225" s="84">
        <v>0</v>
      </c>
      <c r="AI225" s="29">
        <f t="shared" si="56"/>
        <v>111914.33086264315</v>
      </c>
      <c r="AJ225" s="45">
        <f t="shared" si="49"/>
        <v>0</v>
      </c>
      <c r="AL225" s="83">
        <v>0</v>
      </c>
      <c r="AM225" s="22">
        <v>0</v>
      </c>
      <c r="AN225" s="45">
        <f t="shared" si="50"/>
        <v>0</v>
      </c>
    </row>
    <row r="226" spans="2:40" x14ac:dyDescent="0.25">
      <c r="B226" s="53">
        <f>B225*(((1+Dashboard!$C$20)^(1/30)))</f>
        <v>1106574.5163414169</v>
      </c>
      <c r="C226" s="1">
        <v>222</v>
      </c>
      <c r="D226" s="51">
        <f t="shared" si="51"/>
        <v>46395</v>
      </c>
      <c r="E226" s="7">
        <f t="shared" si="52"/>
        <v>9</v>
      </c>
      <c r="F226" s="31">
        <f>E226*Dashboard!$I$3</f>
        <v>15102</v>
      </c>
      <c r="G226" s="18">
        <f>E209*Dashboard!$I$4</f>
        <v>15750</v>
      </c>
      <c r="H226" s="48"/>
      <c r="I226" s="7">
        <f t="shared" si="53"/>
        <v>9</v>
      </c>
      <c r="J226" s="31">
        <f>I226*Dashboard!$I$3</f>
        <v>15102</v>
      </c>
      <c r="K226" s="29">
        <f>I207*Dashboard!$I$4</f>
        <v>15750</v>
      </c>
      <c r="L226" s="48"/>
      <c r="M226" s="7">
        <f t="shared" si="54"/>
        <v>12</v>
      </c>
      <c r="N226" s="31">
        <f>M226*Dashboard!$I$3</f>
        <v>20136</v>
      </c>
      <c r="O226" s="18">
        <f>M205*Dashboard!$I$4</f>
        <v>21000</v>
      </c>
      <c r="P226" s="48"/>
      <c r="Q226" s="32">
        <f t="shared" si="43"/>
        <v>30</v>
      </c>
      <c r="R226" s="31">
        <f t="shared" si="44"/>
        <v>50340</v>
      </c>
      <c r="S226" s="31">
        <f t="shared" si="45"/>
        <v>52500</v>
      </c>
      <c r="T226" s="31">
        <f t="shared" si="46"/>
        <v>2160</v>
      </c>
      <c r="U226" s="31">
        <f>U225-R226+S226+V226-Custos!D226+Z225+AF225+AL225-AB225-AH225-AM225</f>
        <v>136751.90276384761</v>
      </c>
      <c r="V226" s="31">
        <f>U225*(((1+Dashboard!$C$17)^(1/30))-1)</f>
        <v>51.179083081110988</v>
      </c>
      <c r="W226" s="29">
        <f t="shared" si="47"/>
        <v>187091.90276384761</v>
      </c>
      <c r="X226" s="45">
        <f>-R226+S226-Custos!D226</f>
        <v>656.59999999999991</v>
      </c>
      <c r="Z226" s="83">
        <v>0</v>
      </c>
      <c r="AA226" s="33">
        <f>AC225*(((1+Dashboard!$C$20)^(1/30))-1)</f>
        <v>304.17086763188269</v>
      </c>
      <c r="AB226" s="84">
        <v>0</v>
      </c>
      <c r="AC226" s="18">
        <f t="shared" si="55"/>
        <v>663944.70980484912</v>
      </c>
      <c r="AD226" s="47">
        <f t="shared" si="48"/>
        <v>0</v>
      </c>
      <c r="AF226" s="83">
        <v>0</v>
      </c>
      <c r="AG226" s="33">
        <f>AI225*(((1+Dashboard!$C$21)^(1/30))-1)</f>
        <v>57.275867862968767</v>
      </c>
      <c r="AH226" s="84">
        <v>0</v>
      </c>
      <c r="AI226" s="29">
        <f t="shared" si="56"/>
        <v>111971.60673050612</v>
      </c>
      <c r="AJ226" s="45">
        <f t="shared" si="49"/>
        <v>0</v>
      </c>
      <c r="AL226" s="83">
        <v>0</v>
      </c>
      <c r="AM226" s="22">
        <v>0</v>
      </c>
      <c r="AN226" s="45">
        <f t="shared" si="50"/>
        <v>0</v>
      </c>
    </row>
    <row r="227" spans="2:40" x14ac:dyDescent="0.25">
      <c r="B227" s="53">
        <f>B226*(((1+Dashboard!$C$20)^(1/30)))</f>
        <v>1107081.7001419633</v>
      </c>
      <c r="C227" s="1">
        <v>223</v>
      </c>
      <c r="D227" s="51">
        <f t="shared" si="51"/>
        <v>46396</v>
      </c>
      <c r="E227" s="7">
        <f t="shared" si="52"/>
        <v>9</v>
      </c>
      <c r="F227" s="31">
        <f>E227*Dashboard!$I$3</f>
        <v>15102</v>
      </c>
      <c r="G227" s="18">
        <f>E210*Dashboard!$I$4</f>
        <v>15750</v>
      </c>
      <c r="H227" s="48"/>
      <c r="I227" s="7">
        <f t="shared" si="53"/>
        <v>9</v>
      </c>
      <c r="J227" s="31">
        <f>I227*Dashboard!$I$3</f>
        <v>15102</v>
      </c>
      <c r="K227" s="29">
        <f>I208*Dashboard!$I$4</f>
        <v>15750</v>
      </c>
      <c r="L227" s="48"/>
      <c r="M227" s="7">
        <f t="shared" si="54"/>
        <v>12</v>
      </c>
      <c r="N227" s="31">
        <f>M227*Dashboard!$I$3</f>
        <v>20136</v>
      </c>
      <c r="O227" s="18">
        <f>M206*Dashboard!$I$4</f>
        <v>21000</v>
      </c>
      <c r="P227" s="48"/>
      <c r="Q227" s="32">
        <f t="shared" si="43"/>
        <v>30</v>
      </c>
      <c r="R227" s="31">
        <f t="shared" si="44"/>
        <v>50340</v>
      </c>
      <c r="S227" s="31">
        <f t="shared" si="45"/>
        <v>52500</v>
      </c>
      <c r="T227" s="31">
        <f t="shared" si="46"/>
        <v>2160</v>
      </c>
      <c r="U227" s="31">
        <f>U226-R227+S227+V227-Custos!D227+Z226+AF226+AL226-AB226-AH226-AM226</f>
        <v>137459.94810969345</v>
      </c>
      <c r="V227" s="31">
        <f>U226*(((1+Dashboard!$C$17)^(1/30))-1)</f>
        <v>51.445345845837828</v>
      </c>
      <c r="W227" s="29">
        <f t="shared" si="47"/>
        <v>187799.94810969345</v>
      </c>
      <c r="X227" s="45">
        <f>-R227+S227-Custos!D227</f>
        <v>656.59999999999991</v>
      </c>
      <c r="Z227" s="83">
        <v>0</v>
      </c>
      <c r="AA227" s="33">
        <f>AC226*(((1+Dashboard!$C$20)^(1/30))-1)</f>
        <v>304.31028032789447</v>
      </c>
      <c r="AB227" s="84">
        <v>0</v>
      </c>
      <c r="AC227" s="18">
        <f t="shared" si="55"/>
        <v>664249.02008517704</v>
      </c>
      <c r="AD227" s="47">
        <f t="shared" si="48"/>
        <v>0</v>
      </c>
      <c r="AF227" s="83">
        <v>0</v>
      </c>
      <c r="AG227" s="33">
        <f>AI226*(((1+Dashboard!$C$21)^(1/30))-1)</f>
        <v>57.305180686573834</v>
      </c>
      <c r="AH227" s="84">
        <v>0</v>
      </c>
      <c r="AI227" s="29">
        <f t="shared" si="56"/>
        <v>112028.91191119268</v>
      </c>
      <c r="AJ227" s="45">
        <f t="shared" si="49"/>
        <v>0</v>
      </c>
      <c r="AL227" s="83">
        <v>0</v>
      </c>
      <c r="AM227" s="22">
        <v>0</v>
      </c>
      <c r="AN227" s="45">
        <f t="shared" si="50"/>
        <v>0</v>
      </c>
    </row>
    <row r="228" spans="2:40" x14ac:dyDescent="0.25">
      <c r="B228" s="53">
        <f>B227*(((1+Dashboard!$C$20)^(1/30)))</f>
        <v>1107589.1164034999</v>
      </c>
      <c r="C228" s="1">
        <v>224</v>
      </c>
      <c r="D228" s="51">
        <f t="shared" si="51"/>
        <v>46397</v>
      </c>
      <c r="E228" s="7">
        <f t="shared" si="52"/>
        <v>9</v>
      </c>
      <c r="F228" s="31">
        <f>E228*Dashboard!$I$3</f>
        <v>15102</v>
      </c>
      <c r="G228" s="18">
        <f>E211*Dashboard!$I$4</f>
        <v>15750</v>
      </c>
      <c r="H228" s="48"/>
      <c r="I228" s="7">
        <f t="shared" si="53"/>
        <v>9</v>
      </c>
      <c r="J228" s="31">
        <f>I228*Dashboard!$I$3</f>
        <v>15102</v>
      </c>
      <c r="K228" s="29">
        <f>I209*Dashboard!$I$4</f>
        <v>15750</v>
      </c>
      <c r="L228" s="48"/>
      <c r="M228" s="7">
        <f t="shared" si="54"/>
        <v>12</v>
      </c>
      <c r="N228" s="31">
        <f>M228*Dashboard!$I$3</f>
        <v>20136</v>
      </c>
      <c r="O228" s="18">
        <f>M207*Dashboard!$I$4</f>
        <v>21000</v>
      </c>
      <c r="P228" s="48"/>
      <c r="Q228" s="32">
        <f t="shared" si="43"/>
        <v>30</v>
      </c>
      <c r="R228" s="31">
        <f t="shared" si="44"/>
        <v>50340</v>
      </c>
      <c r="S228" s="31">
        <f t="shared" si="45"/>
        <v>52500</v>
      </c>
      <c r="T228" s="31">
        <f t="shared" si="46"/>
        <v>2160</v>
      </c>
      <c r="U228" s="31">
        <f>U227-R228+S228+V228-Custos!D228+Z227+AF227+AL227-AB227-AH227-AM227</f>
        <v>138168.25981847066</v>
      </c>
      <c r="V228" s="31">
        <f>U227*(((1+Dashboard!$C$17)^(1/30))-1)</f>
        <v>51.71170877721493</v>
      </c>
      <c r="W228" s="29">
        <f t="shared" si="47"/>
        <v>188508.25981847066</v>
      </c>
      <c r="X228" s="45">
        <f>-R228+S228-Custos!D228</f>
        <v>656.59999999999991</v>
      </c>
      <c r="Z228" s="83">
        <v>0</v>
      </c>
      <c r="AA228" s="33">
        <f>AC227*(((1+Dashboard!$C$20)^(1/30))-1)</f>
        <v>304.44975692187239</v>
      </c>
      <c r="AB228" s="84">
        <v>0</v>
      </c>
      <c r="AC228" s="18">
        <f t="shared" si="55"/>
        <v>664553.46984209889</v>
      </c>
      <c r="AD228" s="47">
        <f t="shared" si="48"/>
        <v>0</v>
      </c>
      <c r="AF228" s="83">
        <v>0</v>
      </c>
      <c r="AG228" s="33">
        <f>AI227*(((1+Dashboard!$C$21)^(1/30))-1)</f>
        <v>57.33450851198787</v>
      </c>
      <c r="AH228" s="84">
        <v>0</v>
      </c>
      <c r="AI228" s="29">
        <f t="shared" si="56"/>
        <v>112086.24641970468</v>
      </c>
      <c r="AJ228" s="45">
        <f t="shared" si="49"/>
        <v>0</v>
      </c>
      <c r="AL228" s="83">
        <v>0</v>
      </c>
      <c r="AM228" s="22">
        <v>0</v>
      </c>
      <c r="AN228" s="45">
        <f t="shared" si="50"/>
        <v>0</v>
      </c>
    </row>
    <row r="229" spans="2:40" x14ac:dyDescent="0.25">
      <c r="B229" s="53">
        <f>B228*(((1+Dashboard!$C$20)^(1/30)))</f>
        <v>1108096.7652325716</v>
      </c>
      <c r="C229" s="1">
        <v>225</v>
      </c>
      <c r="D229" s="51">
        <f t="shared" si="51"/>
        <v>46398</v>
      </c>
      <c r="E229" s="7">
        <f t="shared" si="52"/>
        <v>9</v>
      </c>
      <c r="F229" s="31">
        <f>E229*Dashboard!$I$3</f>
        <v>15102</v>
      </c>
      <c r="G229" s="18">
        <f>E212*Dashboard!$I$4</f>
        <v>15750</v>
      </c>
      <c r="H229" s="48"/>
      <c r="I229" s="7">
        <f t="shared" si="53"/>
        <v>9</v>
      </c>
      <c r="J229" s="31">
        <f>I229*Dashboard!$I$3</f>
        <v>15102</v>
      </c>
      <c r="K229" s="29">
        <f>I210*Dashboard!$I$4</f>
        <v>15750</v>
      </c>
      <c r="L229" s="48"/>
      <c r="M229" s="7">
        <f t="shared" si="54"/>
        <v>12</v>
      </c>
      <c r="N229" s="31">
        <f>M229*Dashboard!$I$3</f>
        <v>20136</v>
      </c>
      <c r="O229" s="18">
        <f>M208*Dashboard!$I$4</f>
        <v>21000</v>
      </c>
      <c r="P229" s="48"/>
      <c r="Q229" s="32">
        <f t="shared" si="43"/>
        <v>30</v>
      </c>
      <c r="R229" s="31">
        <f t="shared" si="44"/>
        <v>50340</v>
      </c>
      <c r="S229" s="31">
        <f t="shared" si="45"/>
        <v>52500</v>
      </c>
      <c r="T229" s="31">
        <f t="shared" si="46"/>
        <v>2160</v>
      </c>
      <c r="U229" s="31">
        <f>U228-R229+S229+V229-Custos!D229+Z228+AF228+AL228-AB228-AH228-AM228</f>
        <v>138876.83799038359</v>
      </c>
      <c r="V229" s="31">
        <f>U228*(((1+Dashboard!$C$17)^(1/30))-1)</f>
        <v>51.978171912924459</v>
      </c>
      <c r="W229" s="29">
        <f t="shared" si="47"/>
        <v>189216.83799038359</v>
      </c>
      <c r="X229" s="45">
        <f>-R229+S229-Custos!D229</f>
        <v>656.59999999999991</v>
      </c>
      <c r="Z229" s="83">
        <v>0</v>
      </c>
      <c r="AA229" s="33">
        <f>AC228*(((1+Dashboard!$C$20)^(1/30))-1)</f>
        <v>304.58929744310325</v>
      </c>
      <c r="AB229" s="84">
        <v>0</v>
      </c>
      <c r="AC229" s="18">
        <f t="shared" si="55"/>
        <v>664858.05913954193</v>
      </c>
      <c r="AD229" s="47">
        <f t="shared" si="48"/>
        <v>0</v>
      </c>
      <c r="AF229" s="83">
        <v>0</v>
      </c>
      <c r="AG229" s="33">
        <f>AI228*(((1+Dashboard!$C$21)^(1/30))-1)</f>
        <v>57.363851346888538</v>
      </c>
      <c r="AH229" s="84">
        <v>0</v>
      </c>
      <c r="AI229" s="29">
        <f t="shared" si="56"/>
        <v>112143.61027105157</v>
      </c>
      <c r="AJ229" s="45">
        <f t="shared" si="49"/>
        <v>0</v>
      </c>
      <c r="AL229" s="83">
        <v>0</v>
      </c>
      <c r="AM229" s="22">
        <v>0</v>
      </c>
      <c r="AN229" s="45">
        <f t="shared" si="50"/>
        <v>0</v>
      </c>
    </row>
    <row r="230" spans="2:40" x14ac:dyDescent="0.25">
      <c r="B230" s="53">
        <f>B229*(((1+Dashboard!$C$20)^(1/30)))</f>
        <v>1108604.6467357732</v>
      </c>
      <c r="C230" s="1">
        <v>226</v>
      </c>
      <c r="D230" s="51">
        <f t="shared" si="51"/>
        <v>46399</v>
      </c>
      <c r="E230" s="7">
        <f t="shared" si="52"/>
        <v>9</v>
      </c>
      <c r="F230" s="31">
        <f>E230*Dashboard!$I$3</f>
        <v>15102</v>
      </c>
      <c r="G230" s="18">
        <f>E213*Dashboard!$I$4</f>
        <v>15750</v>
      </c>
      <c r="H230" s="48"/>
      <c r="I230" s="7">
        <f t="shared" si="53"/>
        <v>9</v>
      </c>
      <c r="J230" s="31">
        <f>I230*Dashboard!$I$3</f>
        <v>15102</v>
      </c>
      <c r="K230" s="29">
        <f>I211*Dashboard!$I$4</f>
        <v>15750</v>
      </c>
      <c r="L230" s="48"/>
      <c r="M230" s="7">
        <f t="shared" si="54"/>
        <v>12</v>
      </c>
      <c r="N230" s="31">
        <f>M230*Dashboard!$I$3</f>
        <v>20136</v>
      </c>
      <c r="O230" s="18">
        <f>M209*Dashboard!$I$4</f>
        <v>21000</v>
      </c>
      <c r="P230" s="48"/>
      <c r="Q230" s="32">
        <f t="shared" si="43"/>
        <v>30</v>
      </c>
      <c r="R230" s="31">
        <f t="shared" si="44"/>
        <v>50340</v>
      </c>
      <c r="S230" s="31">
        <f t="shared" si="45"/>
        <v>52500</v>
      </c>
      <c r="T230" s="31">
        <f t="shared" si="46"/>
        <v>2160</v>
      </c>
      <c r="U230" s="31">
        <f>U229-R230+S230+V230-Custos!D230+Z229+AF229+AL229-AB229-AH229-AM229</f>
        <v>139585.68272567427</v>
      </c>
      <c r="V230" s="31">
        <f>U229*(((1+Dashboard!$C$17)^(1/30))-1)</f>
        <v>52.244735290662774</v>
      </c>
      <c r="W230" s="29">
        <f t="shared" si="47"/>
        <v>189925.68272567427</v>
      </c>
      <c r="X230" s="45">
        <f>-R230+S230-Custos!D230</f>
        <v>656.59999999999991</v>
      </c>
      <c r="Z230" s="83">
        <v>0</v>
      </c>
      <c r="AA230" s="33">
        <f>AC229*(((1+Dashboard!$C$20)^(1/30))-1)</f>
        <v>304.72890192088727</v>
      </c>
      <c r="AB230" s="84">
        <v>0</v>
      </c>
      <c r="AC230" s="18">
        <f t="shared" si="55"/>
        <v>665162.78804146277</v>
      </c>
      <c r="AD230" s="47">
        <f t="shared" si="48"/>
        <v>0</v>
      </c>
      <c r="AF230" s="83">
        <v>0</v>
      </c>
      <c r="AG230" s="33">
        <f>AI229*(((1+Dashboard!$C$21)^(1/30))-1)</f>
        <v>57.393209198957436</v>
      </c>
      <c r="AH230" s="84">
        <v>0</v>
      </c>
      <c r="AI230" s="29">
        <f t="shared" si="56"/>
        <v>112201.00348025053</v>
      </c>
      <c r="AJ230" s="45">
        <f t="shared" si="49"/>
        <v>0</v>
      </c>
      <c r="AL230" s="83">
        <v>0</v>
      </c>
      <c r="AM230" s="22">
        <v>0</v>
      </c>
      <c r="AN230" s="45">
        <f t="shared" si="50"/>
        <v>0</v>
      </c>
    </row>
    <row r="231" spans="2:40" x14ac:dyDescent="0.25">
      <c r="B231" s="53">
        <f>B230*(((1+Dashboard!$C$20)^(1/30)))</f>
        <v>1109112.7610197475</v>
      </c>
      <c r="C231" s="1">
        <v>227</v>
      </c>
      <c r="D231" s="51">
        <f t="shared" si="51"/>
        <v>46400</v>
      </c>
      <c r="E231" s="7">
        <f t="shared" si="52"/>
        <v>9</v>
      </c>
      <c r="F231" s="31">
        <f>E231*Dashboard!$I$3</f>
        <v>15102</v>
      </c>
      <c r="G231" s="18">
        <f>E214*Dashboard!$I$4</f>
        <v>15750</v>
      </c>
      <c r="H231" s="48"/>
      <c r="I231" s="7">
        <f t="shared" si="53"/>
        <v>9</v>
      </c>
      <c r="J231" s="31">
        <f>I231*Dashboard!$I$3</f>
        <v>15102</v>
      </c>
      <c r="K231" s="29">
        <f>I212*Dashboard!$I$4</f>
        <v>15750</v>
      </c>
      <c r="L231" s="48"/>
      <c r="M231" s="7">
        <f t="shared" si="54"/>
        <v>12</v>
      </c>
      <c r="N231" s="31">
        <f>M231*Dashboard!$I$3</f>
        <v>20136</v>
      </c>
      <c r="O231" s="18">
        <f>M210*Dashboard!$I$4</f>
        <v>21000</v>
      </c>
      <c r="P231" s="48"/>
      <c r="Q231" s="32">
        <f t="shared" si="43"/>
        <v>30</v>
      </c>
      <c r="R231" s="31">
        <f t="shared" si="44"/>
        <v>50340</v>
      </c>
      <c r="S231" s="31">
        <f t="shared" si="45"/>
        <v>52500</v>
      </c>
      <c r="T231" s="31">
        <f t="shared" si="46"/>
        <v>2160</v>
      </c>
      <c r="U231" s="31">
        <f>U230-R231+S231+V231-Custos!D231+Z230+AF230+AL230-AB230-AH230-AM230</f>
        <v>140294.79412462242</v>
      </c>
      <c r="V231" s="31">
        <f>U230*(((1+Dashboard!$C$17)^(1/30))-1)</f>
        <v>52.511398948140382</v>
      </c>
      <c r="W231" s="29">
        <f t="shared" si="47"/>
        <v>190634.79412462242</v>
      </c>
      <c r="X231" s="45">
        <f>-R231+S231-Custos!D231</f>
        <v>656.59999999999991</v>
      </c>
      <c r="Z231" s="83">
        <v>0</v>
      </c>
      <c r="AA231" s="33">
        <f>AC230*(((1+Dashboard!$C$20)^(1/30))-1)</f>
        <v>304.86857038453809</v>
      </c>
      <c r="AB231" s="84">
        <v>0</v>
      </c>
      <c r="AC231" s="18">
        <f t="shared" si="55"/>
        <v>665467.65661184734</v>
      </c>
      <c r="AD231" s="47">
        <f t="shared" si="48"/>
        <v>0</v>
      </c>
      <c r="AF231" s="83">
        <v>0</v>
      </c>
      <c r="AG231" s="33">
        <f>AI230*(((1+Dashboard!$C$21)^(1/30))-1)</f>
        <v>57.422582075880101</v>
      </c>
      <c r="AH231" s="84">
        <v>0</v>
      </c>
      <c r="AI231" s="29">
        <f t="shared" si="56"/>
        <v>112258.4260623264</v>
      </c>
      <c r="AJ231" s="45">
        <f t="shared" si="49"/>
        <v>0</v>
      </c>
      <c r="AL231" s="83">
        <v>0</v>
      </c>
      <c r="AM231" s="22">
        <v>0</v>
      </c>
      <c r="AN231" s="45">
        <f t="shared" si="50"/>
        <v>0</v>
      </c>
    </row>
    <row r="232" spans="2:40" x14ac:dyDescent="0.25">
      <c r="B232" s="53">
        <f>B231*(((1+Dashboard!$C$20)^(1/30)))</f>
        <v>1109621.1081911863</v>
      </c>
      <c r="C232" s="1">
        <v>228</v>
      </c>
      <c r="D232" s="51">
        <f t="shared" si="51"/>
        <v>46401</v>
      </c>
      <c r="E232" s="7">
        <f t="shared" si="52"/>
        <v>9</v>
      </c>
      <c r="F232" s="31">
        <f>E232*Dashboard!$I$3</f>
        <v>15102</v>
      </c>
      <c r="G232" s="18">
        <f>E215*Dashboard!$I$4</f>
        <v>15750</v>
      </c>
      <c r="H232" s="48"/>
      <c r="I232" s="7">
        <f t="shared" si="53"/>
        <v>9</v>
      </c>
      <c r="J232" s="31">
        <f>I232*Dashboard!$I$3</f>
        <v>15102</v>
      </c>
      <c r="K232" s="29">
        <f>I213*Dashboard!$I$4</f>
        <v>15750</v>
      </c>
      <c r="L232" s="48"/>
      <c r="M232" s="7">
        <f t="shared" si="54"/>
        <v>12</v>
      </c>
      <c r="N232" s="31">
        <f>M232*Dashboard!$I$3</f>
        <v>20136</v>
      </c>
      <c r="O232" s="18">
        <f>M211*Dashboard!$I$4</f>
        <v>21000</v>
      </c>
      <c r="P232" s="48"/>
      <c r="Q232" s="32">
        <f t="shared" si="43"/>
        <v>30</v>
      </c>
      <c r="R232" s="31">
        <f t="shared" si="44"/>
        <v>50340</v>
      </c>
      <c r="S232" s="31">
        <f t="shared" si="45"/>
        <v>52500</v>
      </c>
      <c r="T232" s="31">
        <f t="shared" si="46"/>
        <v>2160</v>
      </c>
      <c r="U232" s="31">
        <f>U231-R232+S232+V232-Custos!D232+Z231+AF231+AL231-AB231-AH231-AM231</f>
        <v>141004.17228754552</v>
      </c>
      <c r="V232" s="31">
        <f>U231*(((1+Dashboard!$C$17)^(1/30))-1)</f>
        <v>52.778162923082</v>
      </c>
      <c r="W232" s="29">
        <f t="shared" si="47"/>
        <v>191344.17228754552</v>
      </c>
      <c r="X232" s="45">
        <f>-R232+S232-Custos!D232</f>
        <v>656.59999999999991</v>
      </c>
      <c r="Z232" s="83">
        <v>0</v>
      </c>
      <c r="AA232" s="33">
        <f>AC231*(((1+Dashboard!$C$20)^(1/30))-1)</f>
        <v>305.00830286338288</v>
      </c>
      <c r="AB232" s="84">
        <v>0</v>
      </c>
      <c r="AC232" s="18">
        <f t="shared" si="55"/>
        <v>665772.66491471068</v>
      </c>
      <c r="AD232" s="47">
        <f t="shared" si="48"/>
        <v>0</v>
      </c>
      <c r="AF232" s="83">
        <v>0</v>
      </c>
      <c r="AG232" s="33">
        <f>AI231*(((1+Dashboard!$C$21)^(1/30))-1)</f>
        <v>57.451969985346004</v>
      </c>
      <c r="AH232" s="84">
        <v>0</v>
      </c>
      <c r="AI232" s="29">
        <f t="shared" si="56"/>
        <v>112315.87803231174</v>
      </c>
      <c r="AJ232" s="45">
        <f t="shared" si="49"/>
        <v>0</v>
      </c>
      <c r="AL232" s="83">
        <v>0</v>
      </c>
      <c r="AM232" s="22">
        <v>0</v>
      </c>
      <c r="AN232" s="45">
        <f t="shared" si="50"/>
        <v>0</v>
      </c>
    </row>
    <row r="233" spans="2:40" x14ac:dyDescent="0.25">
      <c r="B233" s="53">
        <f>B232*(((1+Dashboard!$C$20)^(1/30)))</f>
        <v>1110129.688356831</v>
      </c>
      <c r="C233" s="1">
        <v>229</v>
      </c>
      <c r="D233" s="51">
        <f t="shared" si="51"/>
        <v>46402</v>
      </c>
      <c r="E233" s="7">
        <f t="shared" si="52"/>
        <v>9</v>
      </c>
      <c r="F233" s="31">
        <f>E233*Dashboard!$I$3</f>
        <v>15102</v>
      </c>
      <c r="G233" s="18">
        <f>E216*Dashboard!$I$4</f>
        <v>15750</v>
      </c>
      <c r="H233" s="48"/>
      <c r="I233" s="7">
        <f t="shared" si="53"/>
        <v>9</v>
      </c>
      <c r="J233" s="31">
        <f>I233*Dashboard!$I$3</f>
        <v>15102</v>
      </c>
      <c r="K233" s="29">
        <f>I214*Dashboard!$I$4</f>
        <v>15750</v>
      </c>
      <c r="L233" s="48"/>
      <c r="M233" s="7">
        <f t="shared" si="54"/>
        <v>12</v>
      </c>
      <c r="N233" s="31">
        <f>M233*Dashboard!$I$3</f>
        <v>20136</v>
      </c>
      <c r="O233" s="18">
        <f>M212*Dashboard!$I$4</f>
        <v>21000</v>
      </c>
      <c r="P233" s="48"/>
      <c r="Q233" s="32">
        <f t="shared" si="43"/>
        <v>30</v>
      </c>
      <c r="R233" s="31">
        <f t="shared" si="44"/>
        <v>50340</v>
      </c>
      <c r="S233" s="31">
        <f t="shared" si="45"/>
        <v>52500</v>
      </c>
      <c r="T233" s="31">
        <f t="shared" si="46"/>
        <v>2160</v>
      </c>
      <c r="U233" s="31">
        <f>U232-R233+S233+V233-Custos!D233+Z232+AF232+AL232-AB232-AH232-AM232</f>
        <v>141713.81731479874</v>
      </c>
      <c r="V233" s="31">
        <f>U232*(((1+Dashboard!$C$17)^(1/30))-1)</f>
        <v>53.045027253226529</v>
      </c>
      <c r="W233" s="29">
        <f t="shared" si="47"/>
        <v>192053.81731479874</v>
      </c>
      <c r="X233" s="45">
        <f>-R233+S233-Custos!D233</f>
        <v>656.59999999999991</v>
      </c>
      <c r="Z233" s="83">
        <v>0</v>
      </c>
      <c r="AA233" s="33">
        <f>AC232*(((1+Dashboard!$C$20)^(1/30))-1)</f>
        <v>305.148099386762</v>
      </c>
      <c r="AB233" s="84">
        <v>0</v>
      </c>
      <c r="AC233" s="18">
        <f t="shared" si="55"/>
        <v>666077.8130140974</v>
      </c>
      <c r="AD233" s="47">
        <f t="shared" si="48"/>
        <v>0</v>
      </c>
      <c r="AF233" s="83">
        <v>0</v>
      </c>
      <c r="AG233" s="33">
        <f>AI232*(((1+Dashboard!$C$21)^(1/30))-1)</f>
        <v>57.48137293504854</v>
      </c>
      <c r="AH233" s="84">
        <v>0</v>
      </c>
      <c r="AI233" s="29">
        <f t="shared" si="56"/>
        <v>112373.35940524678</v>
      </c>
      <c r="AJ233" s="45">
        <f t="shared" si="49"/>
        <v>0</v>
      </c>
      <c r="AL233" s="83">
        <v>0</v>
      </c>
      <c r="AM233" s="22">
        <v>0</v>
      </c>
      <c r="AN233" s="45">
        <f t="shared" si="50"/>
        <v>0</v>
      </c>
    </row>
    <row r="234" spans="2:40" x14ac:dyDescent="0.25">
      <c r="B234" s="53">
        <f>B233*(((1+Dashboard!$C$20)^(1/30)))</f>
        <v>1110638.501623471</v>
      </c>
      <c r="C234" s="1">
        <v>230</v>
      </c>
      <c r="D234" s="51">
        <f t="shared" si="51"/>
        <v>46403</v>
      </c>
      <c r="E234" s="7">
        <f t="shared" si="52"/>
        <v>9</v>
      </c>
      <c r="F234" s="31">
        <f>E234*Dashboard!$I$3</f>
        <v>15102</v>
      </c>
      <c r="G234" s="18">
        <f>E217*Dashboard!$I$4</f>
        <v>15750</v>
      </c>
      <c r="H234" s="48"/>
      <c r="I234" s="7">
        <f t="shared" si="53"/>
        <v>9</v>
      </c>
      <c r="J234" s="31">
        <f>I234*Dashboard!$I$3</f>
        <v>15102</v>
      </c>
      <c r="K234" s="29">
        <f>I215*Dashboard!$I$4</f>
        <v>15750</v>
      </c>
      <c r="L234" s="48"/>
      <c r="M234" s="7">
        <f t="shared" si="54"/>
        <v>12</v>
      </c>
      <c r="N234" s="31">
        <f>M234*Dashboard!$I$3</f>
        <v>20136</v>
      </c>
      <c r="O234" s="18">
        <f>M213*Dashboard!$I$4</f>
        <v>21000</v>
      </c>
      <c r="P234" s="48"/>
      <c r="Q234" s="32">
        <f t="shared" si="43"/>
        <v>30</v>
      </c>
      <c r="R234" s="31">
        <f t="shared" si="44"/>
        <v>50340</v>
      </c>
      <c r="S234" s="31">
        <f t="shared" si="45"/>
        <v>52500</v>
      </c>
      <c r="T234" s="31">
        <f t="shared" si="46"/>
        <v>2160</v>
      </c>
      <c r="U234" s="31">
        <f>U233-R234+S234+V234-Custos!D234+Z233+AF233+AL233-AB233-AH233-AM233</f>
        <v>142423.72930677509</v>
      </c>
      <c r="V234" s="31">
        <f>U233*(((1+Dashboard!$C$17)^(1/30))-1)</f>
        <v>53.311991976327057</v>
      </c>
      <c r="W234" s="29">
        <f t="shared" si="47"/>
        <v>192763.72930677509</v>
      </c>
      <c r="X234" s="45">
        <f>-R234+S234-Custos!D234</f>
        <v>656.59999999999991</v>
      </c>
      <c r="Z234" s="83">
        <v>0</v>
      </c>
      <c r="AA234" s="33">
        <f>AC233*(((1+Dashboard!$C$20)^(1/30))-1)</f>
        <v>305.2879599840295</v>
      </c>
      <c r="AB234" s="84">
        <v>0</v>
      </c>
      <c r="AC234" s="18">
        <f t="shared" si="55"/>
        <v>666383.10097408143</v>
      </c>
      <c r="AD234" s="47">
        <f t="shared" si="48"/>
        <v>0</v>
      </c>
      <c r="AF234" s="83">
        <v>0</v>
      </c>
      <c r="AG234" s="33">
        <f>AI233*(((1+Dashboard!$C$21)^(1/30))-1)</f>
        <v>57.510790932685062</v>
      </c>
      <c r="AH234" s="84">
        <v>0</v>
      </c>
      <c r="AI234" s="29">
        <f t="shared" si="56"/>
        <v>112430.87019617947</v>
      </c>
      <c r="AJ234" s="45">
        <f t="shared" si="49"/>
        <v>0</v>
      </c>
      <c r="AL234" s="83">
        <v>0</v>
      </c>
      <c r="AM234" s="22">
        <v>0</v>
      </c>
      <c r="AN234" s="45">
        <f t="shared" si="50"/>
        <v>0</v>
      </c>
    </row>
    <row r="235" spans="2:40" x14ac:dyDescent="0.25">
      <c r="B235" s="53">
        <f>B234*(((1+Dashboard!$C$20)^(1/30)))</f>
        <v>1111147.5480979453</v>
      </c>
      <c r="C235" s="1">
        <v>231</v>
      </c>
      <c r="D235" s="51">
        <f t="shared" si="51"/>
        <v>46404</v>
      </c>
      <c r="E235" s="7">
        <f t="shared" si="52"/>
        <v>9</v>
      </c>
      <c r="F235" s="31">
        <f>E235*Dashboard!$I$3</f>
        <v>15102</v>
      </c>
      <c r="G235" s="18">
        <f>E218*Dashboard!$I$4</f>
        <v>15750</v>
      </c>
      <c r="H235" s="48"/>
      <c r="I235" s="7">
        <f t="shared" si="53"/>
        <v>9</v>
      </c>
      <c r="J235" s="31">
        <f>I235*Dashboard!$I$3</f>
        <v>15102</v>
      </c>
      <c r="K235" s="29">
        <f>I216*Dashboard!$I$4</f>
        <v>15750</v>
      </c>
      <c r="L235" s="48"/>
      <c r="M235" s="7">
        <f t="shared" si="54"/>
        <v>12</v>
      </c>
      <c r="N235" s="31">
        <f>M235*Dashboard!$I$3</f>
        <v>20136</v>
      </c>
      <c r="O235" s="18">
        <f>M214*Dashboard!$I$4</f>
        <v>21000</v>
      </c>
      <c r="P235" s="48"/>
      <c r="Q235" s="32">
        <f t="shared" si="43"/>
        <v>30</v>
      </c>
      <c r="R235" s="31">
        <f t="shared" si="44"/>
        <v>50340</v>
      </c>
      <c r="S235" s="31">
        <f t="shared" si="45"/>
        <v>52500</v>
      </c>
      <c r="T235" s="31">
        <f t="shared" si="46"/>
        <v>2160</v>
      </c>
      <c r="U235" s="31">
        <f>U234-R235+S235+V235-Custos!D235+Z234+AF234+AL234-AB234-AH234-AM234</f>
        <v>143133.90836390524</v>
      </c>
      <c r="V235" s="31">
        <f>U234*(((1+Dashboard!$C$17)^(1/30))-1)</f>
        <v>53.579057130150908</v>
      </c>
      <c r="W235" s="29">
        <f t="shared" si="47"/>
        <v>193473.90836390524</v>
      </c>
      <c r="X235" s="45">
        <f>-R235+S235-Custos!D235</f>
        <v>656.59999999999991</v>
      </c>
      <c r="Z235" s="83">
        <v>0</v>
      </c>
      <c r="AA235" s="33">
        <f>AC234*(((1+Dashboard!$C$20)^(1/30))-1)</f>
        <v>305.42788468455279</v>
      </c>
      <c r="AB235" s="84">
        <v>0</v>
      </c>
      <c r="AC235" s="18">
        <f t="shared" si="55"/>
        <v>666688.52885876596</v>
      </c>
      <c r="AD235" s="47">
        <f t="shared" si="48"/>
        <v>0</v>
      </c>
      <c r="AF235" s="83">
        <v>0</v>
      </c>
      <c r="AG235" s="33">
        <f>AI234*(((1+Dashboard!$C$21)^(1/30))-1)</f>
        <v>57.540223985956835</v>
      </c>
      <c r="AH235" s="84">
        <v>0</v>
      </c>
      <c r="AI235" s="29">
        <f t="shared" si="56"/>
        <v>112488.41042016543</v>
      </c>
      <c r="AJ235" s="45">
        <f t="shared" si="49"/>
        <v>0</v>
      </c>
      <c r="AL235" s="83">
        <v>0</v>
      </c>
      <c r="AM235" s="22">
        <v>0</v>
      </c>
      <c r="AN235" s="45">
        <f t="shared" si="50"/>
        <v>0</v>
      </c>
    </row>
    <row r="236" spans="2:40" x14ac:dyDescent="0.25">
      <c r="B236" s="53">
        <f>B235*(((1+Dashboard!$C$20)^(1/30)))</f>
        <v>1111656.8278871414</v>
      </c>
      <c r="C236" s="1">
        <v>232</v>
      </c>
      <c r="D236" s="51">
        <f t="shared" si="51"/>
        <v>46405</v>
      </c>
      <c r="E236" s="7">
        <f t="shared" si="52"/>
        <v>9</v>
      </c>
      <c r="F236" s="31">
        <f>E236*Dashboard!$I$3</f>
        <v>15102</v>
      </c>
      <c r="G236" s="18">
        <f>E219*Dashboard!$I$4</f>
        <v>15750</v>
      </c>
      <c r="H236" s="48"/>
      <c r="I236" s="7">
        <f t="shared" si="53"/>
        <v>9</v>
      </c>
      <c r="J236" s="31">
        <f>I236*Dashboard!$I$3</f>
        <v>15102</v>
      </c>
      <c r="K236" s="29">
        <f>I217*Dashboard!$I$4</f>
        <v>15750</v>
      </c>
      <c r="L236" s="48"/>
      <c r="M236" s="7">
        <f t="shared" si="54"/>
        <v>12</v>
      </c>
      <c r="N236" s="31">
        <f>M236*Dashboard!$I$3</f>
        <v>20136</v>
      </c>
      <c r="O236" s="18">
        <f>M215*Dashboard!$I$4</f>
        <v>21000</v>
      </c>
      <c r="P236" s="48"/>
      <c r="Q236" s="32">
        <f t="shared" si="43"/>
        <v>30</v>
      </c>
      <c r="R236" s="31">
        <f t="shared" si="44"/>
        <v>50340</v>
      </c>
      <c r="S236" s="31">
        <f t="shared" si="45"/>
        <v>52500</v>
      </c>
      <c r="T236" s="31">
        <f t="shared" si="46"/>
        <v>2160</v>
      </c>
      <c r="U236" s="31">
        <f>U235-R236+S236+V236-Custos!D236+Z235+AF235+AL235-AB235-AH235-AM235</f>
        <v>143844.35458665772</v>
      </c>
      <c r="V236" s="31">
        <f>U235*(((1+Dashboard!$C$17)^(1/30))-1)</f>
        <v>53.846222752479569</v>
      </c>
      <c r="W236" s="29">
        <f t="shared" si="47"/>
        <v>194184.35458665772</v>
      </c>
      <c r="X236" s="45">
        <f>-R236+S236-Custos!D236</f>
        <v>656.59999999999991</v>
      </c>
      <c r="Z236" s="83">
        <v>0</v>
      </c>
      <c r="AA236" s="33">
        <f>AC235*(((1+Dashboard!$C$20)^(1/30))-1)</f>
        <v>305.56787351771271</v>
      </c>
      <c r="AB236" s="84">
        <v>0</v>
      </c>
      <c r="AC236" s="18">
        <f t="shared" si="55"/>
        <v>666994.09673228371</v>
      </c>
      <c r="AD236" s="47">
        <f t="shared" si="48"/>
        <v>0</v>
      </c>
      <c r="AF236" s="83">
        <v>0</v>
      </c>
      <c r="AG236" s="33">
        <f>AI235*(((1+Dashboard!$C$21)^(1/30))-1)</f>
        <v>57.569672102569086</v>
      </c>
      <c r="AH236" s="84">
        <v>0</v>
      </c>
      <c r="AI236" s="29">
        <f t="shared" si="56"/>
        <v>112545.980092268</v>
      </c>
      <c r="AJ236" s="45">
        <f t="shared" si="49"/>
        <v>0</v>
      </c>
      <c r="AL236" s="83">
        <v>0</v>
      </c>
      <c r="AM236" s="22">
        <v>0</v>
      </c>
      <c r="AN236" s="45">
        <f t="shared" si="50"/>
        <v>0</v>
      </c>
    </row>
    <row r="237" spans="2:40" x14ac:dyDescent="0.25">
      <c r="B237" s="53">
        <f>B236*(((1+Dashboard!$C$20)^(1/30)))</f>
        <v>1112166.3410979961</v>
      </c>
      <c r="C237" s="1">
        <v>233</v>
      </c>
      <c r="D237" s="51">
        <f t="shared" si="51"/>
        <v>46406</v>
      </c>
      <c r="E237" s="7">
        <f t="shared" si="52"/>
        <v>9</v>
      </c>
      <c r="F237" s="31">
        <f>E237*Dashboard!$I$3</f>
        <v>15102</v>
      </c>
      <c r="G237" s="18">
        <f>E220*Dashboard!$I$4</f>
        <v>15750</v>
      </c>
      <c r="H237" s="48"/>
      <c r="I237" s="7">
        <f t="shared" si="53"/>
        <v>9</v>
      </c>
      <c r="J237" s="31">
        <f>I237*Dashboard!$I$3</f>
        <v>15102</v>
      </c>
      <c r="K237" s="29">
        <f>I218*Dashboard!$I$4</f>
        <v>15750</v>
      </c>
      <c r="L237" s="48"/>
      <c r="M237" s="7">
        <f t="shared" si="54"/>
        <v>12</v>
      </c>
      <c r="N237" s="31">
        <f>M237*Dashboard!$I$3</f>
        <v>20136</v>
      </c>
      <c r="O237" s="18">
        <f>M216*Dashboard!$I$4</f>
        <v>21000</v>
      </c>
      <c r="P237" s="48"/>
      <c r="Q237" s="32">
        <f t="shared" si="43"/>
        <v>30</v>
      </c>
      <c r="R237" s="31">
        <f t="shared" si="44"/>
        <v>50340</v>
      </c>
      <c r="S237" s="31">
        <f t="shared" si="45"/>
        <v>52500</v>
      </c>
      <c r="T237" s="31">
        <f t="shared" si="46"/>
        <v>2160</v>
      </c>
      <c r="U237" s="31">
        <f>U236-R237+S237+V237-Custos!D237+Z236+AF236+AL236-AB236-AH236-AM236</f>
        <v>144555.06807553885</v>
      </c>
      <c r="V237" s="31">
        <f>U236*(((1+Dashboard!$C$17)^(1/30))-1)</f>
        <v>54.113488881108765</v>
      </c>
      <c r="W237" s="29">
        <f t="shared" si="47"/>
        <v>194895.06807553885</v>
      </c>
      <c r="X237" s="45">
        <f>-R237+S237-Custos!D237</f>
        <v>656.59999999999991</v>
      </c>
      <c r="Z237" s="83">
        <v>0</v>
      </c>
      <c r="AA237" s="33">
        <f>AC236*(((1+Dashboard!$C$20)^(1/30))-1)</f>
        <v>305.70792651290373</v>
      </c>
      <c r="AB237" s="84">
        <v>0</v>
      </c>
      <c r="AC237" s="18">
        <f t="shared" si="55"/>
        <v>667299.80465879664</v>
      </c>
      <c r="AD237" s="47">
        <f t="shared" si="48"/>
        <v>0</v>
      </c>
      <c r="AF237" s="83">
        <v>0</v>
      </c>
      <c r="AG237" s="33">
        <f>AI236*(((1+Dashboard!$C$21)^(1/30))-1)</f>
        <v>57.599135290230983</v>
      </c>
      <c r="AH237" s="84">
        <v>0</v>
      </c>
      <c r="AI237" s="29">
        <f t="shared" si="56"/>
        <v>112603.57922755824</v>
      </c>
      <c r="AJ237" s="45">
        <f t="shared" si="49"/>
        <v>0</v>
      </c>
      <c r="AL237" s="83">
        <v>0</v>
      </c>
      <c r="AM237" s="22">
        <v>0</v>
      </c>
      <c r="AN237" s="45">
        <f t="shared" si="50"/>
        <v>0</v>
      </c>
    </row>
    <row r="238" spans="2:40" x14ac:dyDescent="0.25">
      <c r="B238" s="53">
        <f>B237*(((1+Dashboard!$C$20)^(1/30)))</f>
        <v>1112676.0878374954</v>
      </c>
      <c r="C238" s="1">
        <v>234</v>
      </c>
      <c r="D238" s="51">
        <f t="shared" si="51"/>
        <v>46407</v>
      </c>
      <c r="E238" s="7">
        <f t="shared" si="52"/>
        <v>9</v>
      </c>
      <c r="F238" s="31">
        <f>E238*Dashboard!$I$3</f>
        <v>15102</v>
      </c>
      <c r="G238" s="18">
        <f>E221*Dashboard!$I$4</f>
        <v>15750</v>
      </c>
      <c r="H238" s="48"/>
      <c r="I238" s="7">
        <f t="shared" si="53"/>
        <v>9</v>
      </c>
      <c r="J238" s="31">
        <f>I238*Dashboard!$I$3</f>
        <v>15102</v>
      </c>
      <c r="K238" s="29">
        <f>I219*Dashboard!$I$4</f>
        <v>15750</v>
      </c>
      <c r="L238" s="48"/>
      <c r="M238" s="7">
        <f t="shared" si="54"/>
        <v>12</v>
      </c>
      <c r="N238" s="31">
        <f>M238*Dashboard!$I$3</f>
        <v>20136</v>
      </c>
      <c r="O238" s="18">
        <f>M217*Dashboard!$I$4</f>
        <v>21000</v>
      </c>
      <c r="P238" s="48"/>
      <c r="Q238" s="32">
        <f t="shared" si="43"/>
        <v>30</v>
      </c>
      <c r="R238" s="31">
        <f t="shared" si="44"/>
        <v>50340</v>
      </c>
      <c r="S238" s="31">
        <f t="shared" si="45"/>
        <v>52500</v>
      </c>
      <c r="T238" s="31">
        <f t="shared" si="46"/>
        <v>2160</v>
      </c>
      <c r="U238" s="31">
        <f>U237-R238+S238+V238-Custos!D238+Z237+AF237+AL237-AB237-AH237-AM237</f>
        <v>145266.04893109269</v>
      </c>
      <c r="V238" s="31">
        <f>U237*(((1+Dashboard!$C$17)^(1/30))-1)</f>
        <v>54.380855553848455</v>
      </c>
      <c r="W238" s="29">
        <f t="shared" si="47"/>
        <v>195606.04893109269</v>
      </c>
      <c r="X238" s="45">
        <f>-R238+S238-Custos!D238</f>
        <v>656.59999999999991</v>
      </c>
      <c r="Z238" s="83">
        <v>0</v>
      </c>
      <c r="AA238" s="33">
        <f>AC237*(((1+Dashboard!$C$20)^(1/30))-1)</f>
        <v>305.84804369953355</v>
      </c>
      <c r="AB238" s="84">
        <v>0</v>
      </c>
      <c r="AC238" s="18">
        <f t="shared" si="55"/>
        <v>667605.65270249615</v>
      </c>
      <c r="AD238" s="47">
        <f t="shared" si="48"/>
        <v>0</v>
      </c>
      <c r="AF238" s="83">
        <v>0</v>
      </c>
      <c r="AG238" s="33">
        <f>AI237*(((1+Dashboard!$C$21)^(1/30))-1)</f>
        <v>57.62861355665563</v>
      </c>
      <c r="AH238" s="84">
        <v>0</v>
      </c>
      <c r="AI238" s="29">
        <f t="shared" si="56"/>
        <v>112661.2078411149</v>
      </c>
      <c r="AJ238" s="45">
        <f t="shared" si="49"/>
        <v>0</v>
      </c>
      <c r="AL238" s="83">
        <v>0</v>
      </c>
      <c r="AM238" s="22">
        <v>0</v>
      </c>
      <c r="AN238" s="45">
        <f t="shared" si="50"/>
        <v>0</v>
      </c>
    </row>
    <row r="239" spans="2:40" x14ac:dyDescent="0.25">
      <c r="B239" s="53">
        <f>B238*(((1+Dashboard!$C$20)^(1/30)))</f>
        <v>1113186.0682126738</v>
      </c>
      <c r="C239" s="1">
        <v>235</v>
      </c>
      <c r="D239" s="51">
        <f t="shared" si="51"/>
        <v>46408</v>
      </c>
      <c r="E239" s="7">
        <f t="shared" si="52"/>
        <v>9</v>
      </c>
      <c r="F239" s="31">
        <f>E239*Dashboard!$I$3</f>
        <v>15102</v>
      </c>
      <c r="G239" s="18">
        <f>E222*Dashboard!$I$4</f>
        <v>15750</v>
      </c>
      <c r="H239" s="48"/>
      <c r="I239" s="7">
        <f t="shared" si="53"/>
        <v>9</v>
      </c>
      <c r="J239" s="31">
        <f>I239*Dashboard!$I$3</f>
        <v>15102</v>
      </c>
      <c r="K239" s="29">
        <f>I220*Dashboard!$I$4</f>
        <v>15750</v>
      </c>
      <c r="L239" s="48"/>
      <c r="M239" s="7">
        <f t="shared" si="54"/>
        <v>12</v>
      </c>
      <c r="N239" s="31">
        <f>M239*Dashboard!$I$3</f>
        <v>20136</v>
      </c>
      <c r="O239" s="18">
        <f>M218*Dashboard!$I$4</f>
        <v>21000</v>
      </c>
      <c r="P239" s="48"/>
      <c r="Q239" s="32">
        <f t="shared" si="43"/>
        <v>30</v>
      </c>
      <c r="R239" s="31">
        <f t="shared" si="44"/>
        <v>50340</v>
      </c>
      <c r="S239" s="31">
        <f t="shared" si="45"/>
        <v>52500</v>
      </c>
      <c r="T239" s="31">
        <f t="shared" si="46"/>
        <v>2160</v>
      </c>
      <c r="U239" s="31">
        <f>U238-R239+S239+V239-Custos!D239+Z238+AF238+AL238-AB238-AH238-AM238</f>
        <v>145977.29725390123</v>
      </c>
      <c r="V239" s="31">
        <f>U238*(((1+Dashboard!$C$17)^(1/30))-1)</f>
        <v>54.648322808522792</v>
      </c>
      <c r="W239" s="29">
        <f t="shared" si="47"/>
        <v>196317.29725390123</v>
      </c>
      <c r="X239" s="45">
        <f>-R239+S239-Custos!D239</f>
        <v>656.59999999999991</v>
      </c>
      <c r="Z239" s="83">
        <v>0</v>
      </c>
      <c r="AA239" s="33">
        <f>AC238*(((1+Dashboard!$C$20)^(1/30))-1)</f>
        <v>305.98822510702348</v>
      </c>
      <c r="AB239" s="84">
        <v>0</v>
      </c>
      <c r="AC239" s="18">
        <f t="shared" si="55"/>
        <v>667911.64092760324</v>
      </c>
      <c r="AD239" s="47">
        <f t="shared" si="48"/>
        <v>0</v>
      </c>
      <c r="AF239" s="83">
        <v>0</v>
      </c>
      <c r="AG239" s="33">
        <f>AI238*(((1+Dashboard!$C$21)^(1/30))-1)</f>
        <v>57.658106909560075</v>
      </c>
      <c r="AH239" s="84">
        <v>0</v>
      </c>
      <c r="AI239" s="29">
        <f t="shared" si="56"/>
        <v>112718.86594802445</v>
      </c>
      <c r="AJ239" s="45">
        <f t="shared" si="49"/>
        <v>0</v>
      </c>
      <c r="AL239" s="83">
        <v>0</v>
      </c>
      <c r="AM239" s="22">
        <v>0</v>
      </c>
      <c r="AN239" s="45">
        <f t="shared" si="50"/>
        <v>0</v>
      </c>
    </row>
    <row r="240" spans="2:40" x14ac:dyDescent="0.25">
      <c r="B240" s="53">
        <f>B239*(((1+Dashboard!$C$20)^(1/30)))</f>
        <v>1113696.2823306152</v>
      </c>
      <c r="C240" s="1">
        <v>236</v>
      </c>
      <c r="D240" s="51">
        <f t="shared" si="51"/>
        <v>46409</v>
      </c>
      <c r="E240" s="7">
        <f t="shared" si="52"/>
        <v>9</v>
      </c>
      <c r="F240" s="31">
        <f>E240*Dashboard!$I$3</f>
        <v>15102</v>
      </c>
      <c r="G240" s="18">
        <f>E223*Dashboard!$I$4</f>
        <v>15750</v>
      </c>
      <c r="H240" s="48"/>
      <c r="I240" s="7">
        <f t="shared" si="53"/>
        <v>9</v>
      </c>
      <c r="J240" s="31">
        <f>I240*Dashboard!$I$3</f>
        <v>15102</v>
      </c>
      <c r="K240" s="29">
        <f>I221*Dashboard!$I$4</f>
        <v>15750</v>
      </c>
      <c r="L240" s="48"/>
      <c r="M240" s="7">
        <f t="shared" si="54"/>
        <v>12</v>
      </c>
      <c r="N240" s="31">
        <f>M240*Dashboard!$I$3</f>
        <v>20136</v>
      </c>
      <c r="O240" s="18">
        <f>M219*Dashboard!$I$4</f>
        <v>21000</v>
      </c>
      <c r="P240" s="48"/>
      <c r="Q240" s="32">
        <f t="shared" si="43"/>
        <v>30</v>
      </c>
      <c r="R240" s="31">
        <f t="shared" si="44"/>
        <v>50340</v>
      </c>
      <c r="S240" s="31">
        <f t="shared" si="45"/>
        <v>52500</v>
      </c>
      <c r="T240" s="31">
        <f t="shared" si="46"/>
        <v>2160</v>
      </c>
      <c r="U240" s="31">
        <f>U239-R240+S240+V240-Custos!D240+Z239+AF239+AL239-AB239-AH239-AM239</f>
        <v>146688.81314458422</v>
      </c>
      <c r="V240" s="31">
        <f>U239*(((1+Dashboard!$C$17)^(1/30))-1)</f>
        <v>54.915890682970165</v>
      </c>
      <c r="W240" s="29">
        <f t="shared" si="47"/>
        <v>197028.81314458422</v>
      </c>
      <c r="X240" s="45">
        <f>-R240+S240-Custos!D240</f>
        <v>656.59999999999991</v>
      </c>
      <c r="Z240" s="83">
        <v>0</v>
      </c>
      <c r="AA240" s="33">
        <f>AC239*(((1+Dashboard!$C$20)^(1/30))-1)</f>
        <v>306.12847076480836</v>
      </c>
      <c r="AB240" s="84">
        <v>0</v>
      </c>
      <c r="AC240" s="18">
        <f t="shared" si="55"/>
        <v>668217.76939836808</v>
      </c>
      <c r="AD240" s="47">
        <f t="shared" si="48"/>
        <v>0</v>
      </c>
      <c r="AF240" s="83">
        <v>0</v>
      </c>
      <c r="AG240" s="33">
        <f>AI239*(((1+Dashboard!$C$21)^(1/30))-1)</f>
        <v>57.68761535666534</v>
      </c>
      <c r="AH240" s="84">
        <v>0</v>
      </c>
      <c r="AI240" s="29">
        <f t="shared" si="56"/>
        <v>112776.55356338112</v>
      </c>
      <c r="AJ240" s="45">
        <f t="shared" si="49"/>
        <v>0</v>
      </c>
      <c r="AL240" s="83">
        <v>0</v>
      </c>
      <c r="AM240" s="22">
        <v>0</v>
      </c>
      <c r="AN240" s="45">
        <f t="shared" si="50"/>
        <v>0</v>
      </c>
    </row>
    <row r="241" spans="2:40" x14ac:dyDescent="0.25">
      <c r="B241" s="53">
        <f>B240*(((1+Dashboard!$C$20)^(1/30)))</f>
        <v>1114206.7302984525</v>
      </c>
      <c r="C241" s="1">
        <v>237</v>
      </c>
      <c r="D241" s="51">
        <f t="shared" si="51"/>
        <v>46410</v>
      </c>
      <c r="E241" s="7">
        <f t="shared" si="52"/>
        <v>9</v>
      </c>
      <c r="F241" s="31">
        <f>E241*Dashboard!$I$3</f>
        <v>15102</v>
      </c>
      <c r="G241" s="18">
        <f>E224*Dashboard!$I$4</f>
        <v>15750</v>
      </c>
      <c r="H241" s="48"/>
      <c r="I241" s="7">
        <f t="shared" si="53"/>
        <v>9</v>
      </c>
      <c r="J241" s="31">
        <f>I241*Dashboard!$I$3</f>
        <v>15102</v>
      </c>
      <c r="K241" s="29">
        <f>I222*Dashboard!$I$4</f>
        <v>15750</v>
      </c>
      <c r="L241" s="48"/>
      <c r="M241" s="7">
        <f t="shared" si="54"/>
        <v>12</v>
      </c>
      <c r="N241" s="31">
        <f>M241*Dashboard!$I$3</f>
        <v>20136</v>
      </c>
      <c r="O241" s="18">
        <f>M220*Dashboard!$I$4</f>
        <v>21000</v>
      </c>
      <c r="P241" s="48"/>
      <c r="Q241" s="32">
        <f t="shared" si="43"/>
        <v>30</v>
      </c>
      <c r="R241" s="31">
        <f t="shared" si="44"/>
        <v>50340</v>
      </c>
      <c r="S241" s="31">
        <f t="shared" si="45"/>
        <v>52500</v>
      </c>
      <c r="T241" s="31">
        <f t="shared" si="46"/>
        <v>2160</v>
      </c>
      <c r="U241" s="31">
        <f>U240-R241+S241+V241-Custos!D241+Z240+AF240+AL240-AB240-AH240-AM240</f>
        <v>147400.59670379927</v>
      </c>
      <c r="V241" s="31">
        <f>U240*(((1+Dashboard!$C$17)^(1/30))-1)</f>
        <v>55.183559215043218</v>
      </c>
      <c r="W241" s="29">
        <f t="shared" si="47"/>
        <v>197740.59670379927</v>
      </c>
      <c r="X241" s="45">
        <f>-R241+S241-Custos!D241</f>
        <v>656.59999999999991</v>
      </c>
      <c r="Z241" s="83">
        <v>0</v>
      </c>
      <c r="AA241" s="33">
        <f>AC240*(((1+Dashboard!$C$20)^(1/30))-1)</f>
        <v>306.26878070233641</v>
      </c>
      <c r="AB241" s="84">
        <v>0</v>
      </c>
      <c r="AC241" s="18">
        <f t="shared" si="55"/>
        <v>668524.03817907046</v>
      </c>
      <c r="AD241" s="47">
        <f t="shared" si="48"/>
        <v>0</v>
      </c>
      <c r="AF241" s="83">
        <v>0</v>
      </c>
      <c r="AG241" s="33">
        <f>AI240*(((1+Dashboard!$C$21)^(1/30))-1)</f>
        <v>57.717138905696366</v>
      </c>
      <c r="AH241" s="84">
        <v>0</v>
      </c>
      <c r="AI241" s="29">
        <f t="shared" si="56"/>
        <v>112834.27070228681</v>
      </c>
      <c r="AJ241" s="45">
        <f t="shared" si="49"/>
        <v>0</v>
      </c>
      <c r="AL241" s="83">
        <v>0</v>
      </c>
      <c r="AM241" s="22">
        <v>0</v>
      </c>
      <c r="AN241" s="45">
        <f t="shared" si="50"/>
        <v>0</v>
      </c>
    </row>
    <row r="242" spans="2:40" x14ac:dyDescent="0.25">
      <c r="B242" s="53">
        <f>B241*(((1+Dashboard!$C$20)^(1/30)))</f>
        <v>1114717.4122233677</v>
      </c>
      <c r="C242" s="1">
        <v>238</v>
      </c>
      <c r="D242" s="51">
        <f t="shared" si="51"/>
        <v>46411</v>
      </c>
      <c r="E242" s="7">
        <f t="shared" si="52"/>
        <v>9</v>
      </c>
      <c r="F242" s="31">
        <f>E242*Dashboard!$I$3</f>
        <v>15102</v>
      </c>
      <c r="G242" s="18">
        <f>E225*Dashboard!$I$4</f>
        <v>15750</v>
      </c>
      <c r="H242" s="48"/>
      <c r="I242" s="7">
        <f t="shared" si="53"/>
        <v>9</v>
      </c>
      <c r="J242" s="31">
        <f>I242*Dashboard!$I$3</f>
        <v>15102</v>
      </c>
      <c r="K242" s="29">
        <f>I223*Dashboard!$I$4</f>
        <v>15750</v>
      </c>
      <c r="L242" s="48"/>
      <c r="M242" s="7">
        <f t="shared" si="54"/>
        <v>12</v>
      </c>
      <c r="N242" s="31">
        <f>M242*Dashboard!$I$3</f>
        <v>20136</v>
      </c>
      <c r="O242" s="18">
        <f>M221*Dashboard!$I$4</f>
        <v>21000</v>
      </c>
      <c r="P242" s="48"/>
      <c r="Q242" s="32">
        <f t="shared" si="43"/>
        <v>30</v>
      </c>
      <c r="R242" s="31">
        <f t="shared" si="44"/>
        <v>50340</v>
      </c>
      <c r="S242" s="31">
        <f t="shared" si="45"/>
        <v>52500</v>
      </c>
      <c r="T242" s="31">
        <f t="shared" si="46"/>
        <v>2160</v>
      </c>
      <c r="U242" s="31">
        <f>U241-R242+S242+V242-Custos!D242+Z241+AF241+AL241-AB241-AH241-AM241</f>
        <v>148112.64803224188</v>
      </c>
      <c r="V242" s="31">
        <f>U241*(((1+Dashboard!$C$17)^(1/30))-1)</f>
        <v>55.451328442608805</v>
      </c>
      <c r="W242" s="29">
        <f t="shared" si="47"/>
        <v>198452.64803224188</v>
      </c>
      <c r="X242" s="45">
        <f>-R242+S242-Custos!D242</f>
        <v>656.59999999999991</v>
      </c>
      <c r="Z242" s="83">
        <v>0</v>
      </c>
      <c r="AA242" s="33">
        <f>AC241*(((1+Dashboard!$C$20)^(1/30))-1)</f>
        <v>306.40915494906943</v>
      </c>
      <c r="AB242" s="84">
        <v>0</v>
      </c>
      <c r="AC242" s="18">
        <f t="shared" si="55"/>
        <v>668830.44733401947</v>
      </c>
      <c r="AD242" s="47">
        <f t="shared" si="48"/>
        <v>0</v>
      </c>
      <c r="AF242" s="83">
        <v>0</v>
      </c>
      <c r="AG242" s="33">
        <f>AI241*(((1+Dashboard!$C$21)^(1/30))-1)</f>
        <v>57.746677564382075</v>
      </c>
      <c r="AH242" s="84">
        <v>0</v>
      </c>
      <c r="AI242" s="29">
        <f t="shared" si="56"/>
        <v>112892.0173798512</v>
      </c>
      <c r="AJ242" s="45">
        <f t="shared" si="49"/>
        <v>0</v>
      </c>
      <c r="AL242" s="83">
        <v>0</v>
      </c>
      <c r="AM242" s="22">
        <v>0</v>
      </c>
      <c r="AN242" s="45">
        <f t="shared" si="50"/>
        <v>0</v>
      </c>
    </row>
    <row r="243" spans="2:40" x14ac:dyDescent="0.25">
      <c r="B243" s="53">
        <f>B242*(((1+Dashboard!$C$20)^(1/30)))</f>
        <v>1115228.3282125918</v>
      </c>
      <c r="C243" s="1">
        <v>239</v>
      </c>
      <c r="D243" s="51">
        <f t="shared" si="51"/>
        <v>46412</v>
      </c>
      <c r="E243" s="7">
        <f t="shared" si="52"/>
        <v>9</v>
      </c>
      <c r="F243" s="31">
        <f>E243*Dashboard!$I$3</f>
        <v>15102</v>
      </c>
      <c r="G243" s="18">
        <f>E226*Dashboard!$I$4</f>
        <v>15750</v>
      </c>
      <c r="H243" s="48"/>
      <c r="I243" s="7">
        <f t="shared" si="53"/>
        <v>9</v>
      </c>
      <c r="J243" s="31">
        <f>I243*Dashboard!$I$3</f>
        <v>15102</v>
      </c>
      <c r="K243" s="29">
        <f>I224*Dashboard!$I$4</f>
        <v>15750</v>
      </c>
      <c r="L243" s="48"/>
      <c r="M243" s="7">
        <f t="shared" si="54"/>
        <v>12</v>
      </c>
      <c r="N243" s="31">
        <f>M243*Dashboard!$I$3</f>
        <v>20136</v>
      </c>
      <c r="O243" s="18">
        <f>M222*Dashboard!$I$4</f>
        <v>21000</v>
      </c>
      <c r="P243" s="48"/>
      <c r="Q243" s="32">
        <f t="shared" si="43"/>
        <v>30</v>
      </c>
      <c r="R243" s="31">
        <f t="shared" si="44"/>
        <v>50340</v>
      </c>
      <c r="S243" s="31">
        <f t="shared" si="45"/>
        <v>52500</v>
      </c>
      <c r="T243" s="31">
        <f t="shared" si="46"/>
        <v>2160</v>
      </c>
      <c r="U243" s="31">
        <f>U242-R243+S243+V243-Custos!D243+Z242+AF242+AL242-AB242-AH242-AM242</f>
        <v>148824.96723064544</v>
      </c>
      <c r="V243" s="31">
        <f>U242*(((1+Dashboard!$C$17)^(1/30))-1)</f>
        <v>55.719198403548042</v>
      </c>
      <c r="W243" s="29">
        <f t="shared" si="47"/>
        <v>199164.96723064544</v>
      </c>
      <c r="X243" s="45">
        <f>-R243+S243-Custos!D243</f>
        <v>656.59999999999991</v>
      </c>
      <c r="Z243" s="83">
        <v>0</v>
      </c>
      <c r="AA243" s="33">
        <f>AC242*(((1+Dashboard!$C$20)^(1/30))-1)</f>
        <v>306.5495935344826</v>
      </c>
      <c r="AB243" s="84">
        <v>0</v>
      </c>
      <c r="AC243" s="18">
        <f t="shared" si="55"/>
        <v>669136.9969275539</v>
      </c>
      <c r="AD243" s="47">
        <f t="shared" si="48"/>
        <v>0</v>
      </c>
      <c r="AF243" s="83">
        <v>0</v>
      </c>
      <c r="AG243" s="33">
        <f>AI242*(((1+Dashboard!$C$21)^(1/30))-1)</f>
        <v>57.776231340455332</v>
      </c>
      <c r="AH243" s="84">
        <v>0</v>
      </c>
      <c r="AI243" s="29">
        <f t="shared" si="56"/>
        <v>112949.79361119165</v>
      </c>
      <c r="AJ243" s="45">
        <f t="shared" si="49"/>
        <v>0</v>
      </c>
      <c r="AL243" s="83">
        <v>0</v>
      </c>
      <c r="AM243" s="22">
        <v>0</v>
      </c>
      <c r="AN243" s="45">
        <f t="shared" si="50"/>
        <v>0</v>
      </c>
    </row>
    <row r="244" spans="2:40" x14ac:dyDescent="0.25">
      <c r="B244" s="53">
        <f>B243*(((1+Dashboard!$C$20)^(1/30)))</f>
        <v>1115739.4783734053</v>
      </c>
      <c r="C244" s="1">
        <v>240</v>
      </c>
      <c r="D244" s="51">
        <f t="shared" si="51"/>
        <v>46413</v>
      </c>
      <c r="E244" s="7">
        <f t="shared" si="52"/>
        <v>9</v>
      </c>
      <c r="F244" s="31">
        <f>E244*Dashboard!$I$3</f>
        <v>15102</v>
      </c>
      <c r="G244" s="18">
        <f>E227*Dashboard!$I$4</f>
        <v>15750</v>
      </c>
      <c r="H244" s="48"/>
      <c r="I244" s="7">
        <f t="shared" si="53"/>
        <v>9</v>
      </c>
      <c r="J244" s="31">
        <f>I244*Dashboard!$I$3</f>
        <v>15102</v>
      </c>
      <c r="K244" s="29">
        <f>I225*Dashboard!$I$4</f>
        <v>15750</v>
      </c>
      <c r="L244" s="48"/>
      <c r="M244" s="7">
        <f t="shared" si="54"/>
        <v>12</v>
      </c>
      <c r="N244" s="31">
        <f>M244*Dashboard!$I$3</f>
        <v>20136</v>
      </c>
      <c r="O244" s="18">
        <f>M223*Dashboard!$I$4</f>
        <v>21000</v>
      </c>
      <c r="P244" s="48"/>
      <c r="Q244" s="32">
        <f t="shared" si="43"/>
        <v>30</v>
      </c>
      <c r="R244" s="31">
        <f t="shared" si="44"/>
        <v>50340</v>
      </c>
      <c r="S244" s="31">
        <f t="shared" si="45"/>
        <v>52500</v>
      </c>
      <c r="T244" s="31">
        <f t="shared" si="46"/>
        <v>2160</v>
      </c>
      <c r="U244" s="31">
        <f>U243-R244+S244+V244-Custos!D244+Z243+AF243+AL243-AB243-AH243-AM243</f>
        <v>149537.55439978122</v>
      </c>
      <c r="V244" s="31">
        <f>U243*(((1+Dashboard!$C$17)^(1/30))-1)</f>
        <v>55.987169135756304</v>
      </c>
      <c r="W244" s="29">
        <f t="shared" si="47"/>
        <v>199877.55439978122</v>
      </c>
      <c r="X244" s="45">
        <f>-R244+S244-Custos!D244</f>
        <v>656.59999999999991</v>
      </c>
      <c r="Z244" s="83">
        <v>0</v>
      </c>
      <c r="AA244" s="33">
        <f>AC243*(((1+Dashboard!$C$20)^(1/30))-1)</f>
        <v>306.69009648806485</v>
      </c>
      <c r="AB244" s="84">
        <v>0</v>
      </c>
      <c r="AC244" s="18">
        <f t="shared" si="55"/>
        <v>669443.68702404201</v>
      </c>
      <c r="AD244" s="47">
        <f t="shared" si="48"/>
        <v>0</v>
      </c>
      <c r="AF244" s="83">
        <v>0</v>
      </c>
      <c r="AG244" s="33">
        <f>AI243*(((1+Dashboard!$C$21)^(1/30))-1)</f>
        <v>57.80580024165296</v>
      </c>
      <c r="AH244" s="84">
        <v>0</v>
      </c>
      <c r="AI244" s="29">
        <f t="shared" si="56"/>
        <v>113007.5994114333</v>
      </c>
      <c r="AJ244" s="45">
        <f t="shared" si="49"/>
        <v>0</v>
      </c>
      <c r="AL244" s="83">
        <v>0</v>
      </c>
      <c r="AM244" s="22">
        <v>0</v>
      </c>
      <c r="AN244" s="45">
        <f t="shared" si="50"/>
        <v>0</v>
      </c>
    </row>
    <row r="245" spans="2:40" x14ac:dyDescent="0.25">
      <c r="B245" s="53">
        <f>B244*(((1+Dashboard!$C$20)^(1/30)))</f>
        <v>1116250.8628131375</v>
      </c>
      <c r="C245" s="1">
        <v>241</v>
      </c>
      <c r="D245" s="51">
        <f t="shared" si="51"/>
        <v>46414</v>
      </c>
      <c r="E245" s="7">
        <f t="shared" si="52"/>
        <v>9</v>
      </c>
      <c r="F245" s="31">
        <f>E245*Dashboard!$I$3</f>
        <v>15102</v>
      </c>
      <c r="G245" s="18">
        <f>E228*Dashboard!$I$4</f>
        <v>15750</v>
      </c>
      <c r="H245" s="48"/>
      <c r="I245" s="7">
        <f t="shared" si="53"/>
        <v>9</v>
      </c>
      <c r="J245" s="31">
        <f>I245*Dashboard!$I$3</f>
        <v>15102</v>
      </c>
      <c r="K245" s="29">
        <f>I226*Dashboard!$I$4</f>
        <v>15750</v>
      </c>
      <c r="L245" s="48"/>
      <c r="M245" s="7">
        <f t="shared" si="54"/>
        <v>12</v>
      </c>
      <c r="N245" s="31">
        <f>M245*Dashboard!$I$3</f>
        <v>20136</v>
      </c>
      <c r="O245" s="18">
        <f>M224*Dashboard!$I$4</f>
        <v>21000</v>
      </c>
      <c r="P245" s="48"/>
      <c r="Q245" s="32">
        <f t="shared" si="43"/>
        <v>30</v>
      </c>
      <c r="R245" s="31">
        <f t="shared" si="44"/>
        <v>50340</v>
      </c>
      <c r="S245" s="31">
        <f t="shared" si="45"/>
        <v>52500</v>
      </c>
      <c r="T245" s="31">
        <f t="shared" si="46"/>
        <v>2160</v>
      </c>
      <c r="U245" s="31">
        <f>U244-R245+S245+V245-Custos!D245+Z244+AF244+AL244-AB244-AH244-AM244</f>
        <v>150250.40964045838</v>
      </c>
      <c r="V245" s="31">
        <f>U244*(((1+Dashboard!$C$17)^(1/30))-1)</f>
        <v>56.255240677143206</v>
      </c>
      <c r="W245" s="29">
        <f t="shared" si="47"/>
        <v>200590.40964045838</v>
      </c>
      <c r="X245" s="45">
        <f>-R245+S245-Custos!D245</f>
        <v>656.59999999999991</v>
      </c>
      <c r="Z245" s="83">
        <v>0</v>
      </c>
      <c r="AA245" s="33">
        <f>AC244*(((1+Dashboard!$C$20)^(1/30))-1)</f>
        <v>306.83066383931839</v>
      </c>
      <c r="AB245" s="84">
        <v>0</v>
      </c>
      <c r="AC245" s="18">
        <f t="shared" si="55"/>
        <v>669750.51768788137</v>
      </c>
      <c r="AD245" s="47">
        <f t="shared" si="48"/>
        <v>0</v>
      </c>
      <c r="AF245" s="83">
        <v>0</v>
      </c>
      <c r="AG245" s="33">
        <f>AI244*(((1+Dashboard!$C$21)^(1/30))-1)</f>
        <v>57.835384275715747</v>
      </c>
      <c r="AH245" s="84">
        <v>0</v>
      </c>
      <c r="AI245" s="29">
        <f t="shared" si="56"/>
        <v>113065.43479570902</v>
      </c>
      <c r="AJ245" s="45">
        <f t="shared" si="49"/>
        <v>0</v>
      </c>
      <c r="AL245" s="83">
        <v>0</v>
      </c>
      <c r="AM245" s="22">
        <v>0</v>
      </c>
      <c r="AN245" s="45">
        <f t="shared" si="50"/>
        <v>0</v>
      </c>
    </row>
    <row r="246" spans="2:40" x14ac:dyDescent="0.25">
      <c r="B246" s="53">
        <f>B245*(((1+Dashboard!$C$20)^(1/30)))</f>
        <v>1116762.4816391671</v>
      </c>
      <c r="C246" s="1">
        <v>242</v>
      </c>
      <c r="D246" s="51">
        <f t="shared" si="51"/>
        <v>46415</v>
      </c>
      <c r="E246" s="7">
        <f t="shared" si="52"/>
        <v>9</v>
      </c>
      <c r="F246" s="31">
        <f>E246*Dashboard!$I$3</f>
        <v>15102</v>
      </c>
      <c r="G246" s="18">
        <f>E229*Dashboard!$I$4</f>
        <v>15750</v>
      </c>
      <c r="H246" s="48"/>
      <c r="I246" s="7">
        <f t="shared" si="53"/>
        <v>9</v>
      </c>
      <c r="J246" s="31">
        <f>I246*Dashboard!$I$3</f>
        <v>15102</v>
      </c>
      <c r="K246" s="29">
        <f>I227*Dashboard!$I$4</f>
        <v>15750</v>
      </c>
      <c r="L246" s="48"/>
      <c r="M246" s="7">
        <f t="shared" si="54"/>
        <v>12</v>
      </c>
      <c r="N246" s="31">
        <f>M246*Dashboard!$I$3</f>
        <v>20136</v>
      </c>
      <c r="O246" s="18">
        <f>M225*Dashboard!$I$4</f>
        <v>21000</v>
      </c>
      <c r="P246" s="48"/>
      <c r="Q246" s="32">
        <f t="shared" si="43"/>
        <v>30</v>
      </c>
      <c r="R246" s="31">
        <f t="shared" si="44"/>
        <v>50340</v>
      </c>
      <c r="S246" s="31">
        <f t="shared" si="45"/>
        <v>52500</v>
      </c>
      <c r="T246" s="31">
        <f t="shared" si="46"/>
        <v>2160</v>
      </c>
      <c r="U246" s="31">
        <f>U245-R246+S246+V246-Custos!D246+Z245+AF245+AL245-AB245-AH245-AM245</f>
        <v>150963.53305352404</v>
      </c>
      <c r="V246" s="31">
        <f>U245*(((1+Dashboard!$C$17)^(1/30))-1)</f>
        <v>56.523413065632631</v>
      </c>
      <c r="W246" s="29">
        <f t="shared" si="47"/>
        <v>201303.53305352404</v>
      </c>
      <c r="X246" s="45">
        <f>-R246+S246-Custos!D246</f>
        <v>656.59999999999991</v>
      </c>
      <c r="Z246" s="83">
        <v>0</v>
      </c>
      <c r="AA246" s="33">
        <f>AC245*(((1+Dashboard!$C$20)^(1/30))-1)</f>
        <v>306.9712956177591</v>
      </c>
      <c r="AB246" s="84">
        <v>0</v>
      </c>
      <c r="AC246" s="18">
        <f t="shared" si="55"/>
        <v>670057.48898349912</v>
      </c>
      <c r="AD246" s="47">
        <f t="shared" si="48"/>
        <v>0</v>
      </c>
      <c r="AF246" s="83">
        <v>0</v>
      </c>
      <c r="AG246" s="33">
        <f>AI245*(((1+Dashboard!$C$21)^(1/30))-1)</f>
        <v>57.864983450388429</v>
      </c>
      <c r="AH246" s="84">
        <v>0</v>
      </c>
      <c r="AI246" s="29">
        <f t="shared" si="56"/>
        <v>113123.29977915941</v>
      </c>
      <c r="AJ246" s="45">
        <f t="shared" si="49"/>
        <v>0</v>
      </c>
      <c r="AL246" s="83">
        <v>0</v>
      </c>
      <c r="AM246" s="22">
        <v>0</v>
      </c>
      <c r="AN246" s="45">
        <f t="shared" si="50"/>
        <v>0</v>
      </c>
    </row>
    <row r="247" spans="2:40" x14ac:dyDescent="0.25">
      <c r="B247" s="53">
        <f>B246*(((1+Dashboard!$C$20)^(1/30)))</f>
        <v>1117274.3349589219</v>
      </c>
      <c r="C247" s="1">
        <v>243</v>
      </c>
      <c r="D247" s="51">
        <f t="shared" si="51"/>
        <v>46416</v>
      </c>
      <c r="E247" s="7">
        <f t="shared" si="52"/>
        <v>9</v>
      </c>
      <c r="F247" s="31">
        <f>E247*Dashboard!$I$3</f>
        <v>15102</v>
      </c>
      <c r="G247" s="18">
        <f>E230*Dashboard!$I$4</f>
        <v>15750</v>
      </c>
      <c r="H247" s="48"/>
      <c r="I247" s="7">
        <f t="shared" si="53"/>
        <v>9</v>
      </c>
      <c r="J247" s="31">
        <f>I247*Dashboard!$I$3</f>
        <v>15102</v>
      </c>
      <c r="K247" s="29">
        <f>I228*Dashboard!$I$4</f>
        <v>15750</v>
      </c>
      <c r="L247" s="48"/>
      <c r="M247" s="7">
        <f t="shared" si="54"/>
        <v>12</v>
      </c>
      <c r="N247" s="31">
        <f>M247*Dashboard!$I$3</f>
        <v>20136</v>
      </c>
      <c r="O247" s="18">
        <f>M226*Dashboard!$I$4</f>
        <v>21000</v>
      </c>
      <c r="P247" s="48"/>
      <c r="Q247" s="32">
        <f t="shared" si="43"/>
        <v>30</v>
      </c>
      <c r="R247" s="31">
        <f t="shared" si="44"/>
        <v>50340</v>
      </c>
      <c r="S247" s="31">
        <f t="shared" si="45"/>
        <v>52500</v>
      </c>
      <c r="T247" s="31">
        <f t="shared" si="46"/>
        <v>2160</v>
      </c>
      <c r="U247" s="31">
        <f>U246-R247+S247+V247-Custos!D247+Z246+AF246+AL246-AB246-AH246-AM246</f>
        <v>151676.9247398632</v>
      </c>
      <c r="V247" s="31">
        <f>U246*(((1+Dashboard!$C$17)^(1/30))-1)</f>
        <v>56.79168633916273</v>
      </c>
      <c r="W247" s="29">
        <f t="shared" si="47"/>
        <v>202016.9247398632</v>
      </c>
      <c r="X247" s="45">
        <f>-R247+S247-Custos!D247</f>
        <v>656.59999999999991</v>
      </c>
      <c r="Z247" s="83">
        <v>0</v>
      </c>
      <c r="AA247" s="33">
        <f>AC246*(((1+Dashboard!$C$20)^(1/30))-1)</f>
        <v>307.11199185291628</v>
      </c>
      <c r="AB247" s="84">
        <v>0</v>
      </c>
      <c r="AC247" s="18">
        <f t="shared" si="55"/>
        <v>670364.60097535199</v>
      </c>
      <c r="AD247" s="47">
        <f t="shared" si="48"/>
        <v>0</v>
      </c>
      <c r="AF247" s="83">
        <v>0</v>
      </c>
      <c r="AG247" s="33">
        <f>AI246*(((1+Dashboard!$C$21)^(1/30))-1)</f>
        <v>57.894597773419726</v>
      </c>
      <c r="AH247" s="84">
        <v>0</v>
      </c>
      <c r="AI247" s="29">
        <f t="shared" si="56"/>
        <v>113181.19437693284</v>
      </c>
      <c r="AJ247" s="45">
        <f t="shared" si="49"/>
        <v>0</v>
      </c>
      <c r="AL247" s="83">
        <v>0</v>
      </c>
      <c r="AM247" s="22">
        <v>0</v>
      </c>
      <c r="AN247" s="45">
        <f t="shared" si="50"/>
        <v>0</v>
      </c>
    </row>
    <row r="248" spans="2:40" x14ac:dyDescent="0.25">
      <c r="B248" s="53">
        <f>B247*(((1+Dashboard!$C$20)^(1/30)))</f>
        <v>1117786.4228798791</v>
      </c>
      <c r="C248" s="1">
        <v>244</v>
      </c>
      <c r="D248" s="51">
        <f t="shared" si="51"/>
        <v>46417</v>
      </c>
      <c r="E248" s="7">
        <f t="shared" si="52"/>
        <v>9</v>
      </c>
      <c r="F248" s="31">
        <f>E248*Dashboard!$I$3</f>
        <v>15102</v>
      </c>
      <c r="G248" s="18">
        <f>E231*Dashboard!$I$4</f>
        <v>15750</v>
      </c>
      <c r="H248" s="48"/>
      <c r="I248" s="7">
        <f t="shared" si="53"/>
        <v>9</v>
      </c>
      <c r="J248" s="31">
        <f>I248*Dashboard!$I$3</f>
        <v>15102</v>
      </c>
      <c r="K248" s="29">
        <f>I229*Dashboard!$I$4</f>
        <v>15750</v>
      </c>
      <c r="L248" s="48"/>
      <c r="M248" s="7">
        <f t="shared" si="54"/>
        <v>12</v>
      </c>
      <c r="N248" s="31">
        <f>M248*Dashboard!$I$3</f>
        <v>20136</v>
      </c>
      <c r="O248" s="18">
        <f>M227*Dashboard!$I$4</f>
        <v>21000</v>
      </c>
      <c r="P248" s="48"/>
      <c r="Q248" s="32">
        <f t="shared" si="43"/>
        <v>30</v>
      </c>
      <c r="R248" s="31">
        <f t="shared" si="44"/>
        <v>50340</v>
      </c>
      <c r="S248" s="31">
        <f t="shared" si="45"/>
        <v>52500</v>
      </c>
      <c r="T248" s="31">
        <f t="shared" si="46"/>
        <v>2160</v>
      </c>
      <c r="U248" s="31">
        <f>U247-R248+S248+V248-Custos!D248+Z247+AF247+AL247-AB247-AH247-AM247</f>
        <v>152390.58480039888</v>
      </c>
      <c r="V248" s="31">
        <f>U247*(((1+Dashboard!$C$17)^(1/30))-1)</f>
        <v>57.060060535685913</v>
      </c>
      <c r="W248" s="29">
        <f t="shared" si="47"/>
        <v>202730.58480039888</v>
      </c>
      <c r="X248" s="45">
        <f>-R248+S248-Custos!D248</f>
        <v>656.59999999999991</v>
      </c>
      <c r="Z248" s="83">
        <v>0</v>
      </c>
      <c r="AA248" s="33">
        <f>AC247*(((1+Dashboard!$C$20)^(1/30))-1)</f>
        <v>307.25275257433276</v>
      </c>
      <c r="AB248" s="84">
        <v>0</v>
      </c>
      <c r="AC248" s="18">
        <f t="shared" si="55"/>
        <v>670671.85372792627</v>
      </c>
      <c r="AD248" s="47">
        <f t="shared" si="48"/>
        <v>0</v>
      </c>
      <c r="AF248" s="83">
        <v>0</v>
      </c>
      <c r="AG248" s="33">
        <f>AI247*(((1+Dashboard!$C$21)^(1/30))-1)</f>
        <v>57.924227252562304</v>
      </c>
      <c r="AH248" s="84">
        <v>0</v>
      </c>
      <c r="AI248" s="29">
        <f t="shared" si="56"/>
        <v>113239.11860418539</v>
      </c>
      <c r="AJ248" s="45">
        <f t="shared" si="49"/>
        <v>0</v>
      </c>
      <c r="AL248" s="83">
        <v>0</v>
      </c>
      <c r="AM248" s="22">
        <v>0</v>
      </c>
      <c r="AN248" s="45">
        <f t="shared" si="50"/>
        <v>0</v>
      </c>
    </row>
    <row r="249" spans="2:40" x14ac:dyDescent="0.25">
      <c r="B249" s="53">
        <f>B248*(((1+Dashboard!$C$20)^(1/30)))</f>
        <v>1118298.7455095651</v>
      </c>
      <c r="C249" s="1">
        <v>245</v>
      </c>
      <c r="D249" s="51">
        <f t="shared" si="51"/>
        <v>46418</v>
      </c>
      <c r="E249" s="7">
        <f t="shared" si="52"/>
        <v>9</v>
      </c>
      <c r="F249" s="31">
        <f>E249*Dashboard!$I$3</f>
        <v>15102</v>
      </c>
      <c r="G249" s="18">
        <f>E232*Dashboard!$I$4</f>
        <v>15750</v>
      </c>
      <c r="H249" s="48"/>
      <c r="I249" s="7">
        <f t="shared" si="53"/>
        <v>9</v>
      </c>
      <c r="J249" s="31">
        <f>I249*Dashboard!$I$3</f>
        <v>15102</v>
      </c>
      <c r="K249" s="29">
        <f>I230*Dashboard!$I$4</f>
        <v>15750</v>
      </c>
      <c r="L249" s="48"/>
      <c r="M249" s="7">
        <f t="shared" si="54"/>
        <v>12</v>
      </c>
      <c r="N249" s="31">
        <f>M249*Dashboard!$I$3</f>
        <v>20136</v>
      </c>
      <c r="O249" s="18">
        <f>M228*Dashboard!$I$4</f>
        <v>21000</v>
      </c>
      <c r="P249" s="48"/>
      <c r="Q249" s="32">
        <f t="shared" si="43"/>
        <v>30</v>
      </c>
      <c r="R249" s="31">
        <f t="shared" si="44"/>
        <v>50340</v>
      </c>
      <c r="S249" s="31">
        <f t="shared" si="45"/>
        <v>52500</v>
      </c>
      <c r="T249" s="31">
        <f t="shared" si="46"/>
        <v>2160</v>
      </c>
      <c r="U249" s="31">
        <f>U248-R249+S249+V249-Custos!D249+Z248+AF248+AL248-AB248-AH248-AM248</f>
        <v>153104.51333609206</v>
      </c>
      <c r="V249" s="31">
        <f>U248*(((1+Dashboard!$C$17)^(1/30))-1)</f>
        <v>57.328535693168881</v>
      </c>
      <c r="W249" s="29">
        <f t="shared" si="47"/>
        <v>203444.51333609206</v>
      </c>
      <c r="X249" s="45">
        <f>-R249+S249-Custos!D249</f>
        <v>656.59999999999991</v>
      </c>
      <c r="Z249" s="83">
        <v>0</v>
      </c>
      <c r="AA249" s="33">
        <f>AC248*(((1+Dashboard!$C$20)^(1/30))-1)</f>
        <v>307.39357781156508</v>
      </c>
      <c r="AB249" s="84">
        <v>0</v>
      </c>
      <c r="AC249" s="18">
        <f t="shared" si="55"/>
        <v>670979.24730573781</v>
      </c>
      <c r="AD249" s="47">
        <f t="shared" si="48"/>
        <v>0</v>
      </c>
      <c r="AF249" s="83">
        <v>0</v>
      </c>
      <c r="AG249" s="33">
        <f>AI248*(((1+Dashboard!$C$21)^(1/30))-1)</f>
        <v>57.953871895572803</v>
      </c>
      <c r="AH249" s="84">
        <v>0</v>
      </c>
      <c r="AI249" s="29">
        <f t="shared" si="56"/>
        <v>113297.07247608097</v>
      </c>
      <c r="AJ249" s="45">
        <f t="shared" si="49"/>
        <v>0</v>
      </c>
      <c r="AL249" s="83">
        <v>0</v>
      </c>
      <c r="AM249" s="22">
        <v>0</v>
      </c>
      <c r="AN249" s="45">
        <f t="shared" si="50"/>
        <v>0</v>
      </c>
    </row>
    <row r="250" spans="2:40" x14ac:dyDescent="0.25">
      <c r="B250" s="53">
        <f>B249*(((1+Dashboard!$C$20)^(1/30)))</f>
        <v>1118811.3029555555</v>
      </c>
      <c r="C250" s="1">
        <v>246</v>
      </c>
      <c r="D250" s="51">
        <f t="shared" si="51"/>
        <v>46419</v>
      </c>
      <c r="E250" s="7">
        <f t="shared" si="52"/>
        <v>9</v>
      </c>
      <c r="F250" s="31">
        <f>E250*Dashboard!$I$3</f>
        <v>15102</v>
      </c>
      <c r="G250" s="18">
        <f>E233*Dashboard!$I$4</f>
        <v>15750</v>
      </c>
      <c r="H250" s="48"/>
      <c r="I250" s="7">
        <f t="shared" si="53"/>
        <v>9</v>
      </c>
      <c r="J250" s="31">
        <f>I250*Dashboard!$I$3</f>
        <v>15102</v>
      </c>
      <c r="K250" s="29">
        <f>I231*Dashboard!$I$4</f>
        <v>15750</v>
      </c>
      <c r="L250" s="48"/>
      <c r="M250" s="7">
        <f t="shared" si="54"/>
        <v>12</v>
      </c>
      <c r="N250" s="31">
        <f>M250*Dashboard!$I$3</f>
        <v>20136</v>
      </c>
      <c r="O250" s="18">
        <f>M229*Dashboard!$I$4</f>
        <v>21000</v>
      </c>
      <c r="P250" s="48"/>
      <c r="Q250" s="32">
        <f t="shared" si="43"/>
        <v>30</v>
      </c>
      <c r="R250" s="31">
        <f t="shared" si="44"/>
        <v>50340</v>
      </c>
      <c r="S250" s="31">
        <f t="shared" si="45"/>
        <v>52500</v>
      </c>
      <c r="T250" s="31">
        <f t="shared" si="46"/>
        <v>2160</v>
      </c>
      <c r="U250" s="31">
        <f>U249-R250+S250+V250-Custos!D250+Z249+AF249+AL249-AB249-AH249-AM249</f>
        <v>153818.71044794164</v>
      </c>
      <c r="V250" s="31">
        <f>U249*(((1+Dashboard!$C$17)^(1/30))-1)</f>
        <v>57.597111849592629</v>
      </c>
      <c r="W250" s="29">
        <f t="shared" si="47"/>
        <v>204158.71044794164</v>
      </c>
      <c r="X250" s="45">
        <f>-R250+S250-Custos!D250</f>
        <v>656.59999999999991</v>
      </c>
      <c r="Z250" s="83">
        <v>0</v>
      </c>
      <c r="AA250" s="33">
        <f>AC249*(((1+Dashboard!$C$20)^(1/30))-1)</f>
        <v>307.53446759418313</v>
      </c>
      <c r="AB250" s="84">
        <v>0</v>
      </c>
      <c r="AC250" s="18">
        <f t="shared" si="55"/>
        <v>671286.78177333204</v>
      </c>
      <c r="AD250" s="47">
        <f t="shared" si="48"/>
        <v>0</v>
      </c>
      <c r="AF250" s="83">
        <v>0</v>
      </c>
      <c r="AG250" s="33">
        <f>AI249*(((1+Dashboard!$C$21)^(1/30))-1)</f>
        <v>57.983531710211842</v>
      </c>
      <c r="AH250" s="84">
        <v>0</v>
      </c>
      <c r="AI250" s="29">
        <f t="shared" si="56"/>
        <v>113355.05600779118</v>
      </c>
      <c r="AJ250" s="45">
        <f t="shared" si="49"/>
        <v>0</v>
      </c>
      <c r="AL250" s="83">
        <v>0</v>
      </c>
      <c r="AM250" s="22">
        <v>0</v>
      </c>
      <c r="AN250" s="45">
        <f t="shared" si="50"/>
        <v>0</v>
      </c>
    </row>
    <row r="251" spans="2:40" x14ac:dyDescent="0.25">
      <c r="B251" s="53">
        <f>B250*(((1+Dashboard!$C$20)^(1/30)))</f>
        <v>1119324.0953254751</v>
      </c>
      <c r="C251" s="1">
        <v>247</v>
      </c>
      <c r="D251" s="51">
        <f t="shared" si="51"/>
        <v>46420</v>
      </c>
      <c r="E251" s="7">
        <f t="shared" si="52"/>
        <v>9</v>
      </c>
      <c r="F251" s="31">
        <f>E251*Dashboard!$I$3</f>
        <v>15102</v>
      </c>
      <c r="G251" s="18">
        <f>E234*Dashboard!$I$4</f>
        <v>15750</v>
      </c>
      <c r="H251" s="48"/>
      <c r="I251" s="7">
        <f t="shared" si="53"/>
        <v>9</v>
      </c>
      <c r="J251" s="31">
        <f>I251*Dashboard!$I$3</f>
        <v>15102</v>
      </c>
      <c r="K251" s="29">
        <f>I232*Dashboard!$I$4</f>
        <v>15750</v>
      </c>
      <c r="L251" s="48"/>
      <c r="M251" s="7">
        <f t="shared" si="54"/>
        <v>12</v>
      </c>
      <c r="N251" s="31">
        <f>M251*Dashboard!$I$3</f>
        <v>20136</v>
      </c>
      <c r="O251" s="18">
        <f>M230*Dashboard!$I$4</f>
        <v>21000</v>
      </c>
      <c r="P251" s="48"/>
      <c r="Q251" s="32">
        <f t="shared" si="43"/>
        <v>30</v>
      </c>
      <c r="R251" s="31">
        <f t="shared" si="44"/>
        <v>50340</v>
      </c>
      <c r="S251" s="31">
        <f t="shared" si="45"/>
        <v>52500</v>
      </c>
      <c r="T251" s="31">
        <f t="shared" si="46"/>
        <v>2160</v>
      </c>
      <c r="U251" s="31">
        <f>U250-R251+S251+V251-Custos!D251+Z250+AF250+AL250-AB250-AH250-AM250</f>
        <v>154533.17623698461</v>
      </c>
      <c r="V251" s="31">
        <f>U250*(((1+Dashboard!$C$17)^(1/30))-1)</f>
        <v>57.865789042952407</v>
      </c>
      <c r="W251" s="29">
        <f t="shared" si="47"/>
        <v>204873.17623698461</v>
      </c>
      <c r="X251" s="45">
        <f>-R251+S251-Custos!D251</f>
        <v>656.59999999999991</v>
      </c>
      <c r="Z251" s="83">
        <v>0</v>
      </c>
      <c r="AA251" s="33">
        <f>AC250*(((1+Dashboard!$C$20)^(1/30))-1)</f>
        <v>307.67542195177055</v>
      </c>
      <c r="AB251" s="84">
        <v>0</v>
      </c>
      <c r="AC251" s="18">
        <f t="shared" si="55"/>
        <v>671594.45719528385</v>
      </c>
      <c r="AD251" s="47">
        <f t="shared" si="48"/>
        <v>0</v>
      </c>
      <c r="AF251" s="83">
        <v>0</v>
      </c>
      <c r="AG251" s="33">
        <f>AI250*(((1+Dashboard!$C$21)^(1/30))-1)</f>
        <v>58.013206704244006</v>
      </c>
      <c r="AH251" s="84">
        <v>0</v>
      </c>
      <c r="AI251" s="29">
        <f t="shared" si="56"/>
        <v>113413.06921449542</v>
      </c>
      <c r="AJ251" s="45">
        <f t="shared" si="49"/>
        <v>0</v>
      </c>
      <c r="AL251" s="83">
        <v>0</v>
      </c>
      <c r="AM251" s="22">
        <v>0</v>
      </c>
      <c r="AN251" s="45">
        <f t="shared" si="50"/>
        <v>0</v>
      </c>
    </row>
    <row r="252" spans="2:40" x14ac:dyDescent="0.25">
      <c r="B252" s="53">
        <f>B251*(((1+Dashboard!$C$20)^(1/30)))</f>
        <v>1119837.1227269983</v>
      </c>
      <c r="C252" s="1">
        <v>248</v>
      </c>
      <c r="D252" s="51">
        <f t="shared" si="51"/>
        <v>46421</v>
      </c>
      <c r="E252" s="7">
        <f t="shared" si="52"/>
        <v>9</v>
      </c>
      <c r="F252" s="31">
        <f>E252*Dashboard!$I$3</f>
        <v>15102</v>
      </c>
      <c r="G252" s="18">
        <f>E235*Dashboard!$I$4</f>
        <v>15750</v>
      </c>
      <c r="H252" s="48"/>
      <c r="I252" s="7">
        <f t="shared" si="53"/>
        <v>9</v>
      </c>
      <c r="J252" s="31">
        <f>I252*Dashboard!$I$3</f>
        <v>15102</v>
      </c>
      <c r="K252" s="29">
        <f>I233*Dashboard!$I$4</f>
        <v>15750</v>
      </c>
      <c r="L252" s="48"/>
      <c r="M252" s="7">
        <f t="shared" si="54"/>
        <v>12</v>
      </c>
      <c r="N252" s="31">
        <f>M252*Dashboard!$I$3</f>
        <v>20136</v>
      </c>
      <c r="O252" s="18">
        <f>M231*Dashboard!$I$4</f>
        <v>21000</v>
      </c>
      <c r="P252" s="48"/>
      <c r="Q252" s="32">
        <f t="shared" si="43"/>
        <v>30</v>
      </c>
      <c r="R252" s="31">
        <f t="shared" si="44"/>
        <v>50340</v>
      </c>
      <c r="S252" s="31">
        <f t="shared" si="45"/>
        <v>52500</v>
      </c>
      <c r="T252" s="31">
        <f t="shared" si="46"/>
        <v>2160</v>
      </c>
      <c r="U252" s="31">
        <f>U251-R252+S252+V252-Custos!D252+Z251+AF251+AL251-AB251-AH251-AM251</f>
        <v>155247.91080429588</v>
      </c>
      <c r="V252" s="31">
        <f>U251*(((1+Dashboard!$C$17)^(1/30))-1)</f>
        <v>58.134567311257804</v>
      </c>
      <c r="W252" s="29">
        <f t="shared" si="47"/>
        <v>205587.91080429588</v>
      </c>
      <c r="X252" s="45">
        <f>-R252+S252-Custos!D252</f>
        <v>656.59999999999991</v>
      </c>
      <c r="Z252" s="83">
        <v>0</v>
      </c>
      <c r="AA252" s="33">
        <f>AC251*(((1+Dashboard!$C$20)^(1/30))-1)</f>
        <v>307.81644091392428</v>
      </c>
      <c r="AB252" s="84">
        <v>0</v>
      </c>
      <c r="AC252" s="18">
        <f t="shared" si="55"/>
        <v>671902.27363619779</v>
      </c>
      <c r="AD252" s="47">
        <f t="shared" si="48"/>
        <v>0</v>
      </c>
      <c r="AF252" s="83">
        <v>0</v>
      </c>
      <c r="AG252" s="33">
        <f>AI251*(((1+Dashboard!$C$21)^(1/30))-1)</f>
        <v>58.042896885437848</v>
      </c>
      <c r="AH252" s="84">
        <v>0</v>
      </c>
      <c r="AI252" s="29">
        <f t="shared" si="56"/>
        <v>113471.11211138086</v>
      </c>
      <c r="AJ252" s="45">
        <f t="shared" si="49"/>
        <v>0</v>
      </c>
      <c r="AL252" s="83">
        <v>0</v>
      </c>
      <c r="AM252" s="22">
        <v>0</v>
      </c>
      <c r="AN252" s="45">
        <f t="shared" si="50"/>
        <v>0</v>
      </c>
    </row>
    <row r="253" spans="2:40" x14ac:dyDescent="0.25">
      <c r="B253" s="53">
        <f>B252*(((1+Dashboard!$C$20)^(1/30)))</f>
        <v>1120350.3852678486</v>
      </c>
      <c r="C253" s="1">
        <v>249</v>
      </c>
      <c r="D253" s="51">
        <f t="shared" si="51"/>
        <v>46422</v>
      </c>
      <c r="E253" s="7">
        <f t="shared" si="52"/>
        <v>9</v>
      </c>
      <c r="F253" s="31">
        <f>E253*Dashboard!$I$3</f>
        <v>15102</v>
      </c>
      <c r="G253" s="18">
        <f>E236*Dashboard!$I$4</f>
        <v>15750</v>
      </c>
      <c r="H253" s="48"/>
      <c r="I253" s="7">
        <f t="shared" si="53"/>
        <v>9</v>
      </c>
      <c r="J253" s="31">
        <f>I253*Dashboard!$I$3</f>
        <v>15102</v>
      </c>
      <c r="K253" s="29">
        <f>I234*Dashboard!$I$4</f>
        <v>15750</v>
      </c>
      <c r="L253" s="48"/>
      <c r="M253" s="7">
        <f t="shared" si="54"/>
        <v>12</v>
      </c>
      <c r="N253" s="31">
        <f>M253*Dashboard!$I$3</f>
        <v>20136</v>
      </c>
      <c r="O253" s="18">
        <f>M232*Dashboard!$I$4</f>
        <v>21000</v>
      </c>
      <c r="P253" s="48"/>
      <c r="Q253" s="32">
        <f t="shared" si="43"/>
        <v>30</v>
      </c>
      <c r="R253" s="31">
        <f t="shared" si="44"/>
        <v>50340</v>
      </c>
      <c r="S253" s="31">
        <f t="shared" si="45"/>
        <v>52500</v>
      </c>
      <c r="T253" s="31">
        <f t="shared" si="46"/>
        <v>2160</v>
      </c>
      <c r="U253" s="31">
        <f>U252-R253+S253+V253-Custos!D253+Z252+AF252+AL252-AB252-AH252-AM252</f>
        <v>155962.91425098843</v>
      </c>
      <c r="V253" s="31">
        <f>U252*(((1+Dashboard!$C$17)^(1/30))-1)</f>
        <v>58.403446692532668</v>
      </c>
      <c r="W253" s="29">
        <f t="shared" si="47"/>
        <v>206302.91425098843</v>
      </c>
      <c r="X253" s="45">
        <f>-R253+S253-Custos!D253</f>
        <v>656.59999999999991</v>
      </c>
      <c r="Z253" s="83">
        <v>0</v>
      </c>
      <c r="AA253" s="33">
        <f>AC252*(((1+Dashboard!$C$20)^(1/30))-1)</f>
        <v>307.95752451025504</v>
      </c>
      <c r="AB253" s="84">
        <v>0</v>
      </c>
      <c r="AC253" s="18">
        <f t="shared" si="55"/>
        <v>672210.231160708</v>
      </c>
      <c r="AD253" s="47">
        <f t="shared" si="48"/>
        <v>0</v>
      </c>
      <c r="AF253" s="83">
        <v>0</v>
      </c>
      <c r="AG253" s="33">
        <f>AI252*(((1+Dashboard!$C$21)^(1/30))-1)</f>
        <v>58.072602261565905</v>
      </c>
      <c r="AH253" s="84">
        <v>0</v>
      </c>
      <c r="AI253" s="29">
        <f t="shared" si="56"/>
        <v>113529.18471364243</v>
      </c>
      <c r="AJ253" s="45">
        <f t="shared" si="49"/>
        <v>0</v>
      </c>
      <c r="AL253" s="83">
        <v>0</v>
      </c>
      <c r="AM253" s="22">
        <v>0</v>
      </c>
      <c r="AN253" s="45">
        <f t="shared" si="50"/>
        <v>0</v>
      </c>
    </row>
    <row r="254" spans="2:40" x14ac:dyDescent="0.25">
      <c r="B254" s="53">
        <f>B253*(((1+Dashboard!$C$20)^(1/30)))</f>
        <v>1120863.8830557992</v>
      </c>
      <c r="C254" s="1">
        <v>250</v>
      </c>
      <c r="D254" s="51">
        <f t="shared" si="51"/>
        <v>46423</v>
      </c>
      <c r="E254" s="7">
        <f t="shared" si="52"/>
        <v>9</v>
      </c>
      <c r="F254" s="31">
        <f>E254*Dashboard!$I$3</f>
        <v>15102</v>
      </c>
      <c r="G254" s="18">
        <f>E237*Dashboard!$I$4</f>
        <v>15750</v>
      </c>
      <c r="H254" s="48"/>
      <c r="I254" s="7">
        <f t="shared" si="53"/>
        <v>9</v>
      </c>
      <c r="J254" s="31">
        <f>I254*Dashboard!$I$3</f>
        <v>15102</v>
      </c>
      <c r="K254" s="29">
        <f>I235*Dashboard!$I$4</f>
        <v>15750</v>
      </c>
      <c r="L254" s="48"/>
      <c r="M254" s="7">
        <f t="shared" si="54"/>
        <v>12</v>
      </c>
      <c r="N254" s="31">
        <f>M254*Dashboard!$I$3</f>
        <v>20136</v>
      </c>
      <c r="O254" s="18">
        <f>M233*Dashboard!$I$4</f>
        <v>21000</v>
      </c>
      <c r="P254" s="48"/>
      <c r="Q254" s="32">
        <f t="shared" si="43"/>
        <v>30</v>
      </c>
      <c r="R254" s="31">
        <f t="shared" si="44"/>
        <v>50340</v>
      </c>
      <c r="S254" s="31">
        <f t="shared" si="45"/>
        <v>52500</v>
      </c>
      <c r="T254" s="31">
        <f t="shared" si="46"/>
        <v>2160</v>
      </c>
      <c r="U254" s="31">
        <f>U253-R254+S254+V254-Custos!D254+Z253+AF253+AL253-AB253-AH253-AM253</f>
        <v>156678.18667821324</v>
      </c>
      <c r="V254" s="31">
        <f>U253*(((1+Dashboard!$C$17)^(1/30))-1)</f>
        <v>58.672427224815166</v>
      </c>
      <c r="W254" s="29">
        <f t="shared" si="47"/>
        <v>207018.18667821324</v>
      </c>
      <c r="X254" s="45">
        <f>-R254+S254-Custos!D254</f>
        <v>656.59999999999991</v>
      </c>
      <c r="Z254" s="83">
        <v>0</v>
      </c>
      <c r="AA254" s="33">
        <f>AC253*(((1+Dashboard!$C$20)^(1/30))-1)</f>
        <v>308.098672770387</v>
      </c>
      <c r="AB254" s="84">
        <v>0</v>
      </c>
      <c r="AC254" s="18">
        <f t="shared" si="55"/>
        <v>672518.32983347843</v>
      </c>
      <c r="AD254" s="47">
        <f t="shared" si="48"/>
        <v>0</v>
      </c>
      <c r="AF254" s="83">
        <v>0</v>
      </c>
      <c r="AG254" s="33">
        <f>AI253*(((1+Dashboard!$C$21)^(1/30))-1)</f>
        <v>58.102322840404682</v>
      </c>
      <c r="AH254" s="84">
        <v>0</v>
      </c>
      <c r="AI254" s="29">
        <f t="shared" si="56"/>
        <v>113587.28703648284</v>
      </c>
      <c r="AJ254" s="45">
        <f t="shared" si="49"/>
        <v>0</v>
      </c>
      <c r="AL254" s="83">
        <v>0</v>
      </c>
      <c r="AM254" s="22">
        <v>0</v>
      </c>
      <c r="AN254" s="45">
        <f t="shared" si="50"/>
        <v>0</v>
      </c>
    </row>
    <row r="255" spans="2:40" x14ac:dyDescent="0.25">
      <c r="B255" s="53">
        <f>B254*(((1+Dashboard!$C$20)^(1/30)))</f>
        <v>1121377.6161986724</v>
      </c>
      <c r="C255" s="1">
        <v>251</v>
      </c>
      <c r="D255" s="51">
        <f t="shared" si="51"/>
        <v>46424</v>
      </c>
      <c r="E255" s="7">
        <f t="shared" si="52"/>
        <v>9</v>
      </c>
      <c r="F255" s="31">
        <f>E255*Dashboard!$I$3</f>
        <v>15102</v>
      </c>
      <c r="G255" s="18">
        <f>E238*Dashboard!$I$4</f>
        <v>15750</v>
      </c>
      <c r="H255" s="48"/>
      <c r="I255" s="7">
        <f t="shared" si="53"/>
        <v>9</v>
      </c>
      <c r="J255" s="31">
        <f>I255*Dashboard!$I$3</f>
        <v>15102</v>
      </c>
      <c r="K255" s="29">
        <f>I236*Dashboard!$I$4</f>
        <v>15750</v>
      </c>
      <c r="L255" s="48"/>
      <c r="M255" s="7">
        <f t="shared" si="54"/>
        <v>12</v>
      </c>
      <c r="N255" s="31">
        <f>M255*Dashboard!$I$3</f>
        <v>20136</v>
      </c>
      <c r="O255" s="18">
        <f>M234*Dashboard!$I$4</f>
        <v>21000</v>
      </c>
      <c r="P255" s="48"/>
      <c r="Q255" s="32">
        <f t="shared" si="43"/>
        <v>30</v>
      </c>
      <c r="R255" s="31">
        <f t="shared" si="44"/>
        <v>50340</v>
      </c>
      <c r="S255" s="31">
        <f t="shared" si="45"/>
        <v>52500</v>
      </c>
      <c r="T255" s="31">
        <f t="shared" si="46"/>
        <v>2160</v>
      </c>
      <c r="U255" s="31">
        <f>U254-R255+S255+V255-Custos!D255+Z254+AF254+AL254-AB254-AH254-AM254</f>
        <v>157393.7281871594</v>
      </c>
      <c r="V255" s="31">
        <f>U254*(((1+Dashboard!$C$17)^(1/30))-1)</f>
        <v>58.941508946157768</v>
      </c>
      <c r="W255" s="29">
        <f t="shared" si="47"/>
        <v>207733.7281871594</v>
      </c>
      <c r="X255" s="45">
        <f>-R255+S255-Custos!D255</f>
        <v>656.59999999999991</v>
      </c>
      <c r="Z255" s="83">
        <v>0</v>
      </c>
      <c r="AA255" s="33">
        <f>AC254*(((1+Dashboard!$C$20)^(1/30))-1)</f>
        <v>308.23988572395808</v>
      </c>
      <c r="AB255" s="84">
        <v>0</v>
      </c>
      <c r="AC255" s="18">
        <f t="shared" si="55"/>
        <v>672826.56971920235</v>
      </c>
      <c r="AD255" s="47">
        <f t="shared" si="48"/>
        <v>0</v>
      </c>
      <c r="AF255" s="83">
        <v>0</v>
      </c>
      <c r="AG255" s="33">
        <f>AI254*(((1+Dashboard!$C$21)^(1/30))-1)</f>
        <v>58.132058629734679</v>
      </c>
      <c r="AH255" s="84">
        <v>0</v>
      </c>
      <c r="AI255" s="29">
        <f t="shared" si="56"/>
        <v>113645.41909511258</v>
      </c>
      <c r="AJ255" s="45">
        <f t="shared" si="49"/>
        <v>0</v>
      </c>
      <c r="AL255" s="83">
        <v>0</v>
      </c>
      <c r="AM255" s="22">
        <v>0</v>
      </c>
      <c r="AN255" s="45">
        <f t="shared" si="50"/>
        <v>0</v>
      </c>
    </row>
    <row r="256" spans="2:40" x14ac:dyDescent="0.25">
      <c r="B256" s="53">
        <f>B255*(((1+Dashboard!$C$20)^(1/30)))</f>
        <v>1121891.58480434</v>
      </c>
      <c r="C256" s="1">
        <v>252</v>
      </c>
      <c r="D256" s="51">
        <f t="shared" si="51"/>
        <v>46425</v>
      </c>
      <c r="E256" s="7">
        <f t="shared" si="52"/>
        <v>9</v>
      </c>
      <c r="F256" s="31">
        <f>E256*Dashboard!$I$3</f>
        <v>15102</v>
      </c>
      <c r="G256" s="18">
        <f>E239*Dashboard!$I$4</f>
        <v>15750</v>
      </c>
      <c r="H256" s="48"/>
      <c r="I256" s="7">
        <f t="shared" si="53"/>
        <v>9</v>
      </c>
      <c r="J256" s="31">
        <f>I256*Dashboard!$I$3</f>
        <v>15102</v>
      </c>
      <c r="K256" s="29">
        <f>I237*Dashboard!$I$4</f>
        <v>15750</v>
      </c>
      <c r="L256" s="48"/>
      <c r="M256" s="7">
        <f t="shared" si="54"/>
        <v>12</v>
      </c>
      <c r="N256" s="31">
        <f>M256*Dashboard!$I$3</f>
        <v>20136</v>
      </c>
      <c r="O256" s="18">
        <f>M235*Dashboard!$I$4</f>
        <v>21000</v>
      </c>
      <c r="P256" s="48"/>
      <c r="Q256" s="32">
        <f t="shared" ref="Q256:Q319" si="57">E256+I256+M256</f>
        <v>30</v>
      </c>
      <c r="R256" s="31">
        <f t="shared" ref="R256:R319" si="58">F256+J256+N256</f>
        <v>50340</v>
      </c>
      <c r="S256" s="31">
        <f t="shared" ref="S256:S319" si="59">G256+K256+O256</f>
        <v>52500</v>
      </c>
      <c r="T256" s="31">
        <f t="shared" ref="T256:T319" si="60">S256-R239</f>
        <v>2160</v>
      </c>
      <c r="U256" s="31">
        <f>U255-R256+S256+V256-Custos!D256+Z255+AF255+AL255-AB255-AH255-AM255</f>
        <v>158109.53887905405</v>
      </c>
      <c r="V256" s="31">
        <f>U255*(((1+Dashboard!$C$17)^(1/30))-1)</f>
        <v>59.210691894627274</v>
      </c>
      <c r="W256" s="29">
        <f t="shared" ref="W256:W319" si="61">U256+R256</f>
        <v>208449.53887905405</v>
      </c>
      <c r="X256" s="45">
        <f>-R256+S256-Custos!D256</f>
        <v>656.59999999999991</v>
      </c>
      <c r="Z256" s="83">
        <v>0</v>
      </c>
      <c r="AA256" s="33">
        <f>AC255*(((1+Dashboard!$C$20)^(1/30))-1)</f>
        <v>308.38116340061953</v>
      </c>
      <c r="AB256" s="84">
        <v>0</v>
      </c>
      <c r="AC256" s="18">
        <f t="shared" si="55"/>
        <v>673134.95088260295</v>
      </c>
      <c r="AD256" s="47">
        <f t="shared" ref="AD256:AD319" si="62">-Z256+AB256</f>
        <v>0</v>
      </c>
      <c r="AF256" s="83">
        <v>0</v>
      </c>
      <c r="AG256" s="33">
        <f>AI255*(((1+Dashboard!$C$21)^(1/30))-1)</f>
        <v>58.161809637340355</v>
      </c>
      <c r="AH256" s="84">
        <v>0</v>
      </c>
      <c r="AI256" s="29">
        <f t="shared" si="56"/>
        <v>113703.58090474992</v>
      </c>
      <c r="AJ256" s="45">
        <f t="shared" ref="AJ256:AJ319" si="63">-AF256+AH256</f>
        <v>0</v>
      </c>
      <c r="AL256" s="83">
        <v>0</v>
      </c>
      <c r="AM256" s="22">
        <v>0</v>
      </c>
      <c r="AN256" s="45">
        <f t="shared" ref="AN256:AN319" si="64">-AL256+AM256</f>
        <v>0</v>
      </c>
    </row>
    <row r="257" spans="2:40" x14ac:dyDescent="0.25">
      <c r="B257" s="53">
        <f>B256*(((1+Dashboard!$C$20)^(1/30)))</f>
        <v>1122405.7889807234</v>
      </c>
      <c r="C257" s="1">
        <v>253</v>
      </c>
      <c r="D257" s="51">
        <f t="shared" si="51"/>
        <v>46426</v>
      </c>
      <c r="E257" s="7">
        <f t="shared" si="52"/>
        <v>9</v>
      </c>
      <c r="F257" s="31">
        <f>E257*Dashboard!$I$3</f>
        <v>15102</v>
      </c>
      <c r="G257" s="18">
        <f>E240*Dashboard!$I$4</f>
        <v>15750</v>
      </c>
      <c r="H257" s="48"/>
      <c r="I257" s="7">
        <f t="shared" si="53"/>
        <v>9</v>
      </c>
      <c r="J257" s="31">
        <f>I257*Dashboard!$I$3</f>
        <v>15102</v>
      </c>
      <c r="K257" s="29">
        <f>I238*Dashboard!$I$4</f>
        <v>15750</v>
      </c>
      <c r="L257" s="48"/>
      <c r="M257" s="7">
        <f t="shared" si="54"/>
        <v>12</v>
      </c>
      <c r="N257" s="31">
        <f>M257*Dashboard!$I$3</f>
        <v>20136</v>
      </c>
      <c r="O257" s="18">
        <f>M236*Dashboard!$I$4</f>
        <v>21000</v>
      </c>
      <c r="P257" s="48"/>
      <c r="Q257" s="32">
        <f t="shared" si="57"/>
        <v>30</v>
      </c>
      <c r="R257" s="31">
        <f t="shared" si="58"/>
        <v>50340</v>
      </c>
      <c r="S257" s="31">
        <f t="shared" si="59"/>
        <v>52500</v>
      </c>
      <c r="T257" s="31">
        <f t="shared" si="60"/>
        <v>2160</v>
      </c>
      <c r="U257" s="31">
        <f>U256-R257+S257+V257-Custos!D257+Z256+AF256+AL256-AB256-AH256-AM256</f>
        <v>158825.61885516235</v>
      </c>
      <c r="V257" s="31">
        <f>U256*(((1+Dashboard!$C$17)^(1/30))-1)</f>
        <v>59.479976108304804</v>
      </c>
      <c r="W257" s="29">
        <f t="shared" si="61"/>
        <v>209165.61885516235</v>
      </c>
      <c r="X257" s="45">
        <f>-R257+S257-Custos!D257</f>
        <v>656.59999999999991</v>
      </c>
      <c r="Z257" s="83">
        <v>0</v>
      </c>
      <c r="AA257" s="33">
        <f>AC256*(((1+Dashboard!$C$20)^(1/30))-1)</f>
        <v>308.52250583003638</v>
      </c>
      <c r="AB257" s="84">
        <v>0</v>
      </c>
      <c r="AC257" s="18">
        <f t="shared" si="55"/>
        <v>673443.47338843299</v>
      </c>
      <c r="AD257" s="47">
        <f t="shared" si="62"/>
        <v>0</v>
      </c>
      <c r="AF257" s="83">
        <v>0</v>
      </c>
      <c r="AG257" s="33">
        <f>AI256*(((1+Dashboard!$C$21)^(1/30))-1)</f>
        <v>58.19157587101018</v>
      </c>
      <c r="AH257" s="84">
        <v>0</v>
      </c>
      <c r="AI257" s="29">
        <f t="shared" si="56"/>
        <v>113761.77248062093</v>
      </c>
      <c r="AJ257" s="45">
        <f t="shared" si="63"/>
        <v>0</v>
      </c>
      <c r="AL257" s="83">
        <v>0</v>
      </c>
      <c r="AM257" s="22">
        <v>0</v>
      </c>
      <c r="AN257" s="45">
        <f t="shared" si="64"/>
        <v>0</v>
      </c>
    </row>
    <row r="258" spans="2:40" x14ac:dyDescent="0.25">
      <c r="B258" s="53">
        <f>B257*(((1+Dashboard!$C$20)^(1/30)))</f>
        <v>1122920.2288357932</v>
      </c>
      <c r="C258" s="1">
        <v>254</v>
      </c>
      <c r="D258" s="51">
        <f t="shared" si="51"/>
        <v>46427</v>
      </c>
      <c r="E258" s="7">
        <f t="shared" si="52"/>
        <v>9</v>
      </c>
      <c r="F258" s="31">
        <f>E258*Dashboard!$I$3</f>
        <v>15102</v>
      </c>
      <c r="G258" s="18">
        <f>E241*Dashboard!$I$4</f>
        <v>15750</v>
      </c>
      <c r="H258" s="48"/>
      <c r="I258" s="7">
        <f t="shared" si="53"/>
        <v>9</v>
      </c>
      <c r="J258" s="31">
        <f>I258*Dashboard!$I$3</f>
        <v>15102</v>
      </c>
      <c r="K258" s="29">
        <f>I239*Dashboard!$I$4</f>
        <v>15750</v>
      </c>
      <c r="L258" s="48"/>
      <c r="M258" s="7">
        <f t="shared" si="54"/>
        <v>12</v>
      </c>
      <c r="N258" s="31">
        <f>M258*Dashboard!$I$3</f>
        <v>20136</v>
      </c>
      <c r="O258" s="18">
        <f>M237*Dashboard!$I$4</f>
        <v>21000</v>
      </c>
      <c r="P258" s="48"/>
      <c r="Q258" s="32">
        <f t="shared" si="57"/>
        <v>30</v>
      </c>
      <c r="R258" s="31">
        <f t="shared" si="58"/>
        <v>50340</v>
      </c>
      <c r="S258" s="31">
        <f t="shared" si="59"/>
        <v>52500</v>
      </c>
      <c r="T258" s="31">
        <f t="shared" si="60"/>
        <v>2160</v>
      </c>
      <c r="U258" s="31">
        <f>U257-R258+S258+V258-Custos!D258+Z257+AF257+AL257-AB257-AH257-AM257</f>
        <v>159541.96821678765</v>
      </c>
      <c r="V258" s="31">
        <f>U257*(((1+Dashboard!$C$17)^(1/30))-1)</f>
        <v>59.749361625285779</v>
      </c>
      <c r="W258" s="29">
        <f t="shared" si="61"/>
        <v>209881.96821678765</v>
      </c>
      <c r="X258" s="45">
        <f>-R258+S258-Custos!D258</f>
        <v>656.59999999999991</v>
      </c>
      <c r="Z258" s="83">
        <v>0</v>
      </c>
      <c r="AA258" s="33">
        <f>AC257*(((1+Dashboard!$C$20)^(1/30))-1)</f>
        <v>308.66391304188721</v>
      </c>
      <c r="AB258" s="84">
        <v>0</v>
      </c>
      <c r="AC258" s="18">
        <f t="shared" si="55"/>
        <v>673752.13730147493</v>
      </c>
      <c r="AD258" s="47">
        <f t="shared" si="62"/>
        <v>0</v>
      </c>
      <c r="AF258" s="83">
        <v>0</v>
      </c>
      <c r="AG258" s="33">
        <f>AI257*(((1+Dashboard!$C$21)^(1/30))-1)</f>
        <v>58.221357338536592</v>
      </c>
      <c r="AH258" s="84">
        <v>0</v>
      </c>
      <c r="AI258" s="29">
        <f t="shared" si="56"/>
        <v>113819.99383795947</v>
      </c>
      <c r="AJ258" s="45">
        <f t="shared" si="63"/>
        <v>0</v>
      </c>
      <c r="AL258" s="83">
        <v>0</v>
      </c>
      <c r="AM258" s="22">
        <v>0</v>
      </c>
      <c r="AN258" s="45">
        <f t="shared" si="64"/>
        <v>0</v>
      </c>
    </row>
    <row r="259" spans="2:40" x14ac:dyDescent="0.25">
      <c r="B259" s="53">
        <f>B258*(((1+Dashboard!$C$20)^(1/30)))</f>
        <v>1123434.9044775697</v>
      </c>
      <c r="C259" s="1">
        <v>255</v>
      </c>
      <c r="D259" s="51">
        <f t="shared" si="51"/>
        <v>46428</v>
      </c>
      <c r="E259" s="7">
        <f t="shared" si="52"/>
        <v>9</v>
      </c>
      <c r="F259" s="31">
        <f>E259*Dashboard!$I$3</f>
        <v>15102</v>
      </c>
      <c r="G259" s="18">
        <f>E242*Dashboard!$I$4</f>
        <v>15750</v>
      </c>
      <c r="H259" s="48"/>
      <c r="I259" s="7">
        <f t="shared" si="53"/>
        <v>9</v>
      </c>
      <c r="J259" s="31">
        <f>I259*Dashboard!$I$3</f>
        <v>15102</v>
      </c>
      <c r="K259" s="29">
        <f>I240*Dashboard!$I$4</f>
        <v>15750</v>
      </c>
      <c r="L259" s="48"/>
      <c r="M259" s="7">
        <f t="shared" si="54"/>
        <v>12</v>
      </c>
      <c r="N259" s="31">
        <f>M259*Dashboard!$I$3</f>
        <v>20136</v>
      </c>
      <c r="O259" s="18">
        <f>M238*Dashboard!$I$4</f>
        <v>21000</v>
      </c>
      <c r="P259" s="48"/>
      <c r="Q259" s="32">
        <f t="shared" si="57"/>
        <v>30</v>
      </c>
      <c r="R259" s="31">
        <f t="shared" si="58"/>
        <v>50340</v>
      </c>
      <c r="S259" s="31">
        <f t="shared" si="59"/>
        <v>52500</v>
      </c>
      <c r="T259" s="31">
        <f t="shared" si="60"/>
        <v>2160</v>
      </c>
      <c r="U259" s="31">
        <f>U258-R259+S259+V259-Custos!D259+Z258+AF258+AL258-AB258-AH258-AM258</f>
        <v>160258.58706527133</v>
      </c>
      <c r="V259" s="31">
        <f>U258*(((1+Dashboard!$C$17)^(1/30))-1)</f>
        <v>60.018848483679974</v>
      </c>
      <c r="W259" s="29">
        <f t="shared" si="61"/>
        <v>210598.58706527133</v>
      </c>
      <c r="X259" s="45">
        <f>-R259+S259-Custos!D259</f>
        <v>656.59999999999991</v>
      </c>
      <c r="Z259" s="83">
        <v>0</v>
      </c>
      <c r="AA259" s="33">
        <f>AC258*(((1+Dashboard!$C$20)^(1/30))-1)</f>
        <v>308.80538506586419</v>
      </c>
      <c r="AB259" s="84">
        <v>0</v>
      </c>
      <c r="AC259" s="18">
        <f t="shared" si="55"/>
        <v>674060.94268654077</v>
      </c>
      <c r="AD259" s="47">
        <f t="shared" si="62"/>
        <v>0</v>
      </c>
      <c r="AF259" s="83">
        <v>0</v>
      </c>
      <c r="AG259" s="33">
        <f>AI258*(((1+Dashboard!$C$21)^(1/30))-1)</f>
        <v>58.251154047716021</v>
      </c>
      <c r="AH259" s="84">
        <v>0</v>
      </c>
      <c r="AI259" s="29">
        <f t="shared" si="56"/>
        <v>113878.24499200718</v>
      </c>
      <c r="AJ259" s="45">
        <f t="shared" si="63"/>
        <v>0</v>
      </c>
      <c r="AL259" s="83">
        <v>0</v>
      </c>
      <c r="AM259" s="22">
        <v>0</v>
      </c>
      <c r="AN259" s="45">
        <f t="shared" si="64"/>
        <v>0</v>
      </c>
    </row>
    <row r="260" spans="2:40" x14ac:dyDescent="0.25">
      <c r="B260" s="53">
        <f>B259*(((1+Dashboard!$C$20)^(1/30)))</f>
        <v>1123949.8160141225</v>
      </c>
      <c r="C260" s="1">
        <v>256</v>
      </c>
      <c r="D260" s="51">
        <f t="shared" si="51"/>
        <v>46429</v>
      </c>
      <c r="E260" s="7">
        <f t="shared" si="52"/>
        <v>9</v>
      </c>
      <c r="F260" s="31">
        <f>E260*Dashboard!$I$3</f>
        <v>15102</v>
      </c>
      <c r="G260" s="18">
        <f>E243*Dashboard!$I$4</f>
        <v>15750</v>
      </c>
      <c r="H260" s="48"/>
      <c r="I260" s="7">
        <f t="shared" si="53"/>
        <v>9</v>
      </c>
      <c r="J260" s="31">
        <f>I260*Dashboard!$I$3</f>
        <v>15102</v>
      </c>
      <c r="K260" s="29">
        <f>I241*Dashboard!$I$4</f>
        <v>15750</v>
      </c>
      <c r="L260" s="48"/>
      <c r="M260" s="7">
        <f t="shared" si="54"/>
        <v>12</v>
      </c>
      <c r="N260" s="31">
        <f>M260*Dashboard!$I$3</f>
        <v>20136</v>
      </c>
      <c r="O260" s="18">
        <f>M239*Dashboard!$I$4</f>
        <v>21000</v>
      </c>
      <c r="P260" s="48"/>
      <c r="Q260" s="32">
        <f t="shared" si="57"/>
        <v>30</v>
      </c>
      <c r="R260" s="31">
        <f t="shared" si="58"/>
        <v>50340</v>
      </c>
      <c r="S260" s="31">
        <f t="shared" si="59"/>
        <v>52500</v>
      </c>
      <c r="T260" s="31">
        <f t="shared" si="60"/>
        <v>2160</v>
      </c>
      <c r="U260" s="31">
        <f>U259-R260+S260+V260-Custos!D260+Z259+AF259+AL259-AB259-AH259-AM259</f>
        <v>160975.47550199294</v>
      </c>
      <c r="V260" s="31">
        <f>U259*(((1+Dashboard!$C$17)^(1/30))-1)</f>
        <v>60.288436721611504</v>
      </c>
      <c r="W260" s="29">
        <f t="shared" si="61"/>
        <v>211315.47550199294</v>
      </c>
      <c r="X260" s="45">
        <f>-R260+S260-Custos!D260</f>
        <v>656.59999999999991</v>
      </c>
      <c r="Z260" s="83">
        <v>0</v>
      </c>
      <c r="AA260" s="33">
        <f>AC259*(((1+Dashboard!$C$20)^(1/30))-1)</f>
        <v>308.94692193167305</v>
      </c>
      <c r="AB260" s="84">
        <v>0</v>
      </c>
      <c r="AC260" s="18">
        <f t="shared" si="55"/>
        <v>674369.88960847247</v>
      </c>
      <c r="AD260" s="47">
        <f t="shared" si="62"/>
        <v>0</v>
      </c>
      <c r="AF260" s="83">
        <v>0</v>
      </c>
      <c r="AG260" s="33">
        <f>AI259*(((1+Dashboard!$C$21)^(1/30))-1)</f>
        <v>58.280966006348891</v>
      </c>
      <c r="AH260" s="84">
        <v>0</v>
      </c>
      <c r="AI260" s="29">
        <f t="shared" si="56"/>
        <v>113936.52595801353</v>
      </c>
      <c r="AJ260" s="45">
        <f t="shared" si="63"/>
        <v>0</v>
      </c>
      <c r="AL260" s="83">
        <v>0</v>
      </c>
      <c r="AM260" s="22">
        <v>0</v>
      </c>
      <c r="AN260" s="45">
        <f t="shared" si="64"/>
        <v>0</v>
      </c>
    </row>
    <row r="261" spans="2:40" x14ac:dyDescent="0.25">
      <c r="B261" s="53">
        <f>B260*(((1+Dashboard!$C$20)^(1/30)))</f>
        <v>1124464.9635535709</v>
      </c>
      <c r="C261" s="1">
        <v>257</v>
      </c>
      <c r="D261" s="51">
        <f t="shared" si="51"/>
        <v>46430</v>
      </c>
      <c r="E261" s="7">
        <f t="shared" si="52"/>
        <v>9</v>
      </c>
      <c r="F261" s="31">
        <f>E261*Dashboard!$I$3</f>
        <v>15102</v>
      </c>
      <c r="G261" s="18">
        <f>E244*Dashboard!$I$4</f>
        <v>15750</v>
      </c>
      <c r="H261" s="48"/>
      <c r="I261" s="7">
        <f t="shared" si="53"/>
        <v>9</v>
      </c>
      <c r="J261" s="31">
        <f>I261*Dashboard!$I$3</f>
        <v>15102</v>
      </c>
      <c r="K261" s="29">
        <f>I242*Dashboard!$I$4</f>
        <v>15750</v>
      </c>
      <c r="L261" s="48"/>
      <c r="M261" s="7">
        <f t="shared" si="54"/>
        <v>12</v>
      </c>
      <c r="N261" s="31">
        <f>M261*Dashboard!$I$3</f>
        <v>20136</v>
      </c>
      <c r="O261" s="18">
        <f>M240*Dashboard!$I$4</f>
        <v>21000</v>
      </c>
      <c r="P261" s="48"/>
      <c r="Q261" s="32">
        <f t="shared" si="57"/>
        <v>30</v>
      </c>
      <c r="R261" s="31">
        <f t="shared" si="58"/>
        <v>50340</v>
      </c>
      <c r="S261" s="31">
        <f t="shared" si="59"/>
        <v>52500</v>
      </c>
      <c r="T261" s="31">
        <f t="shared" si="60"/>
        <v>2160</v>
      </c>
      <c r="U261" s="31">
        <f>U260-R261+S261+V261-Custos!D261+Z260+AF260+AL260-AB260-AH260-AM260</f>
        <v>161692.63362837018</v>
      </c>
      <c r="V261" s="31">
        <f>U260*(((1+Dashboard!$C$17)^(1/30))-1)</f>
        <v>60.558126377218805</v>
      </c>
      <c r="W261" s="29">
        <f t="shared" si="61"/>
        <v>212032.63362837018</v>
      </c>
      <c r="X261" s="45">
        <f>-R261+S261-Custos!D261</f>
        <v>656.59999999999991</v>
      </c>
      <c r="Z261" s="83">
        <v>0</v>
      </c>
      <c r="AA261" s="33">
        <f>AC260*(((1+Dashboard!$C$20)^(1/30))-1)</f>
        <v>309.08852366903324</v>
      </c>
      <c r="AB261" s="84">
        <v>0</v>
      </c>
      <c r="AC261" s="18">
        <f t="shared" si="55"/>
        <v>674678.97813214152</v>
      </c>
      <c r="AD261" s="47">
        <f t="shared" si="62"/>
        <v>0</v>
      </c>
      <c r="AF261" s="83">
        <v>0</v>
      </c>
      <c r="AG261" s="33">
        <f>AI260*(((1+Dashboard!$C$21)^(1/30))-1)</f>
        <v>58.310793222239617</v>
      </c>
      <c r="AH261" s="84">
        <v>0</v>
      </c>
      <c r="AI261" s="29">
        <f t="shared" si="56"/>
        <v>113994.83675123577</v>
      </c>
      <c r="AJ261" s="45">
        <f t="shared" si="63"/>
        <v>0</v>
      </c>
      <c r="AL261" s="83">
        <v>0</v>
      </c>
      <c r="AM261" s="22">
        <v>0</v>
      </c>
      <c r="AN261" s="45">
        <f t="shared" si="64"/>
        <v>0</v>
      </c>
    </row>
    <row r="262" spans="2:40" x14ac:dyDescent="0.25">
      <c r="B262" s="53">
        <f>B261*(((1+Dashboard!$C$20)^(1/30)))</f>
        <v>1124980.3472040838</v>
      </c>
      <c r="C262" s="1">
        <v>258</v>
      </c>
      <c r="D262" s="51">
        <f t="shared" si="51"/>
        <v>46431</v>
      </c>
      <c r="E262" s="7">
        <f t="shared" si="52"/>
        <v>9</v>
      </c>
      <c r="F262" s="31">
        <f>E262*Dashboard!$I$3</f>
        <v>15102</v>
      </c>
      <c r="G262" s="18">
        <f>E245*Dashboard!$I$4</f>
        <v>15750</v>
      </c>
      <c r="H262" s="48"/>
      <c r="I262" s="7">
        <f t="shared" si="53"/>
        <v>9</v>
      </c>
      <c r="J262" s="31">
        <f>I262*Dashboard!$I$3</f>
        <v>15102</v>
      </c>
      <c r="K262" s="29">
        <f>I243*Dashboard!$I$4</f>
        <v>15750</v>
      </c>
      <c r="L262" s="48"/>
      <c r="M262" s="7">
        <f t="shared" si="54"/>
        <v>12</v>
      </c>
      <c r="N262" s="31">
        <f>M262*Dashboard!$I$3</f>
        <v>20136</v>
      </c>
      <c r="O262" s="18">
        <f>M241*Dashboard!$I$4</f>
        <v>21000</v>
      </c>
      <c r="P262" s="48"/>
      <c r="Q262" s="32">
        <f t="shared" si="57"/>
        <v>30</v>
      </c>
      <c r="R262" s="31">
        <f t="shared" si="58"/>
        <v>50340</v>
      </c>
      <c r="S262" s="31">
        <f t="shared" si="59"/>
        <v>52500</v>
      </c>
      <c r="T262" s="31">
        <f t="shared" si="60"/>
        <v>2160</v>
      </c>
      <c r="U262" s="31">
        <f>U261-R262+S262+V262-Custos!D262+Z261+AF261+AL261-AB261-AH261-AM261</f>
        <v>162410.06154585883</v>
      </c>
      <c r="V262" s="31">
        <f>U261*(((1+Dashboard!$C$17)^(1/30))-1)</f>
        <v>60.827917488654691</v>
      </c>
      <c r="W262" s="29">
        <f t="shared" si="61"/>
        <v>212750.06154585883</v>
      </c>
      <c r="X262" s="45">
        <f>-R262+S262-Custos!D262</f>
        <v>656.59999999999991</v>
      </c>
      <c r="Z262" s="83">
        <v>0</v>
      </c>
      <c r="AA262" s="33">
        <f>AC261*(((1+Dashboard!$C$20)^(1/30))-1)</f>
        <v>309.23019030767773</v>
      </c>
      <c r="AB262" s="84">
        <v>0</v>
      </c>
      <c r="AC262" s="18">
        <f t="shared" si="55"/>
        <v>674988.20832244924</v>
      </c>
      <c r="AD262" s="47">
        <f t="shared" si="62"/>
        <v>0</v>
      </c>
      <c r="AF262" s="83">
        <v>0</v>
      </c>
      <c r="AG262" s="33">
        <f>AI261*(((1+Dashboard!$C$21)^(1/30))-1)</f>
        <v>58.340635703196597</v>
      </c>
      <c r="AH262" s="84">
        <v>0</v>
      </c>
      <c r="AI262" s="29">
        <f t="shared" si="56"/>
        <v>114053.17738693896</v>
      </c>
      <c r="AJ262" s="45">
        <f t="shared" si="63"/>
        <v>0</v>
      </c>
      <c r="AL262" s="83">
        <v>0</v>
      </c>
      <c r="AM262" s="22">
        <v>0</v>
      </c>
      <c r="AN262" s="45">
        <f t="shared" si="64"/>
        <v>0</v>
      </c>
    </row>
    <row r="263" spans="2:40" x14ac:dyDescent="0.25">
      <c r="B263" s="53">
        <f>B262*(((1+Dashboard!$C$20)^(1/30)))</f>
        <v>1125495.9670738794</v>
      </c>
      <c r="C263" s="1">
        <v>259</v>
      </c>
      <c r="D263" s="51">
        <f t="shared" ref="D263:D326" si="65">D262+1</f>
        <v>46432</v>
      </c>
      <c r="E263" s="7">
        <f t="shared" ref="E263:E326" si="66">E262</f>
        <v>9</v>
      </c>
      <c r="F263" s="31">
        <f>E263*Dashboard!$I$3</f>
        <v>15102</v>
      </c>
      <c r="G263" s="18">
        <f>E246*Dashboard!$I$4</f>
        <v>15750</v>
      </c>
      <c r="H263" s="48"/>
      <c r="I263" s="7">
        <f t="shared" ref="I263:I326" si="67">I262</f>
        <v>9</v>
      </c>
      <c r="J263" s="31">
        <f>I263*Dashboard!$I$3</f>
        <v>15102</v>
      </c>
      <c r="K263" s="29">
        <f>I244*Dashboard!$I$4</f>
        <v>15750</v>
      </c>
      <c r="L263" s="48"/>
      <c r="M263" s="7">
        <f t="shared" ref="M263:M326" si="68">M262</f>
        <v>12</v>
      </c>
      <c r="N263" s="31">
        <f>M263*Dashboard!$I$3</f>
        <v>20136</v>
      </c>
      <c r="O263" s="18">
        <f>M242*Dashboard!$I$4</f>
        <v>21000</v>
      </c>
      <c r="P263" s="48"/>
      <c r="Q263" s="32">
        <f t="shared" si="57"/>
        <v>30</v>
      </c>
      <c r="R263" s="31">
        <f t="shared" si="58"/>
        <v>50340</v>
      </c>
      <c r="S263" s="31">
        <f t="shared" si="59"/>
        <v>52500</v>
      </c>
      <c r="T263" s="31">
        <f t="shared" si="60"/>
        <v>2160</v>
      </c>
      <c r="U263" s="31">
        <f>U262-R263+S263+V263-Custos!D263+Z262+AF262+AL262-AB262-AH262-AM262</f>
        <v>163127.75935595293</v>
      </c>
      <c r="V263" s="31">
        <f>U262*(((1+Dashboard!$C$17)^(1/30))-1)</f>
        <v>61.097810094086284</v>
      </c>
      <c r="W263" s="29">
        <f t="shared" si="61"/>
        <v>213467.75935595293</v>
      </c>
      <c r="X263" s="45">
        <f>-R263+S263-Custos!D263</f>
        <v>656.59999999999991</v>
      </c>
      <c r="Z263" s="83">
        <v>0</v>
      </c>
      <c r="AA263" s="33">
        <f>AC262*(((1+Dashboard!$C$20)^(1/30))-1)</f>
        <v>309.37192187735326</v>
      </c>
      <c r="AB263" s="84">
        <v>0</v>
      </c>
      <c r="AC263" s="18">
        <f t="shared" ref="AC263:AC326" si="69">AC262+AA263-AB262+Z263</f>
        <v>675297.58024432661</v>
      </c>
      <c r="AD263" s="47">
        <f t="shared" si="62"/>
        <v>0</v>
      </c>
      <c r="AF263" s="83">
        <v>0</v>
      </c>
      <c r="AG263" s="33">
        <f>AI262*(((1+Dashboard!$C$21)^(1/30))-1)</f>
        <v>58.370493457032239</v>
      </c>
      <c r="AH263" s="84">
        <v>0</v>
      </c>
      <c r="AI263" s="29">
        <f t="shared" ref="AI263:AI326" si="70">AI262+AG263-AH262+AF263</f>
        <v>114111.54788039598</v>
      </c>
      <c r="AJ263" s="45">
        <f t="shared" si="63"/>
        <v>0</v>
      </c>
      <c r="AL263" s="83">
        <v>0</v>
      </c>
      <c r="AM263" s="22">
        <v>0</v>
      </c>
      <c r="AN263" s="45">
        <f t="shared" si="64"/>
        <v>0</v>
      </c>
    </row>
    <row r="264" spans="2:40" x14ac:dyDescent="0.25">
      <c r="B264" s="53">
        <f>B263*(((1+Dashboard!$C$20)^(1/30)))</f>
        <v>1126011.8232712259</v>
      </c>
      <c r="C264" s="1">
        <v>260</v>
      </c>
      <c r="D264" s="51">
        <f t="shared" si="65"/>
        <v>46433</v>
      </c>
      <c r="E264" s="7">
        <f t="shared" si="66"/>
        <v>9</v>
      </c>
      <c r="F264" s="31">
        <f>E264*Dashboard!$I$3</f>
        <v>15102</v>
      </c>
      <c r="G264" s="18">
        <f>E247*Dashboard!$I$4</f>
        <v>15750</v>
      </c>
      <c r="H264" s="48"/>
      <c r="I264" s="7">
        <f t="shared" si="67"/>
        <v>9</v>
      </c>
      <c r="J264" s="31">
        <f>I264*Dashboard!$I$3</f>
        <v>15102</v>
      </c>
      <c r="K264" s="29">
        <f>I245*Dashboard!$I$4</f>
        <v>15750</v>
      </c>
      <c r="L264" s="48"/>
      <c r="M264" s="7">
        <f t="shared" si="68"/>
        <v>12</v>
      </c>
      <c r="N264" s="31">
        <f>M264*Dashboard!$I$3</f>
        <v>20136</v>
      </c>
      <c r="O264" s="18">
        <f>M243*Dashboard!$I$4</f>
        <v>21000</v>
      </c>
      <c r="P264" s="48"/>
      <c r="Q264" s="32">
        <f t="shared" si="57"/>
        <v>30</v>
      </c>
      <c r="R264" s="31">
        <f t="shared" si="58"/>
        <v>50340</v>
      </c>
      <c r="S264" s="31">
        <f t="shared" si="59"/>
        <v>52500</v>
      </c>
      <c r="T264" s="31">
        <f t="shared" si="60"/>
        <v>2160</v>
      </c>
      <c r="U264" s="31">
        <f>U263-R264+S264+V264-Custos!D264+Z263+AF263+AL263-AB263-AH263-AM263</f>
        <v>163845.72716018464</v>
      </c>
      <c r="V264" s="31">
        <f>U263*(((1+Dashboard!$C$17)^(1/30))-1)</f>
        <v>61.367804231695111</v>
      </c>
      <c r="W264" s="29">
        <f t="shared" si="61"/>
        <v>214185.72716018464</v>
      </c>
      <c r="X264" s="45">
        <f>-R264+S264-Custos!D264</f>
        <v>656.59999999999991</v>
      </c>
      <c r="Z264" s="83">
        <v>0</v>
      </c>
      <c r="AA264" s="33">
        <f>AC263*(((1+Dashboard!$C$20)^(1/30))-1)</f>
        <v>309.51371840781997</v>
      </c>
      <c r="AB264" s="84">
        <v>0</v>
      </c>
      <c r="AC264" s="18">
        <f t="shared" si="69"/>
        <v>675607.09396273445</v>
      </c>
      <c r="AD264" s="47">
        <f t="shared" si="62"/>
        <v>0</v>
      </c>
      <c r="AF264" s="83">
        <v>0</v>
      </c>
      <c r="AG264" s="33">
        <f>AI263*(((1+Dashboard!$C$21)^(1/30))-1)</f>
        <v>58.400366491562949</v>
      </c>
      <c r="AH264" s="84">
        <v>0</v>
      </c>
      <c r="AI264" s="29">
        <f t="shared" si="70"/>
        <v>114169.94824688755</v>
      </c>
      <c r="AJ264" s="45">
        <f t="shared" si="63"/>
        <v>0</v>
      </c>
      <c r="AL264" s="83">
        <v>0</v>
      </c>
      <c r="AM264" s="22">
        <v>0</v>
      </c>
      <c r="AN264" s="45">
        <f t="shared" si="64"/>
        <v>0</v>
      </c>
    </row>
    <row r="265" spans="2:40" x14ac:dyDescent="0.25">
      <c r="B265" s="53">
        <f>B264*(((1+Dashboard!$C$20)^(1/30)))</f>
        <v>1126527.9159044407</v>
      </c>
      <c r="C265" s="1">
        <v>261</v>
      </c>
      <c r="D265" s="51">
        <f t="shared" si="65"/>
        <v>46434</v>
      </c>
      <c r="E265" s="7">
        <f t="shared" si="66"/>
        <v>9</v>
      </c>
      <c r="F265" s="31">
        <f>E265*Dashboard!$I$3</f>
        <v>15102</v>
      </c>
      <c r="G265" s="18">
        <f>E248*Dashboard!$I$4</f>
        <v>15750</v>
      </c>
      <c r="H265" s="48"/>
      <c r="I265" s="7">
        <f t="shared" si="67"/>
        <v>9</v>
      </c>
      <c r="J265" s="31">
        <f>I265*Dashboard!$I$3</f>
        <v>15102</v>
      </c>
      <c r="K265" s="29">
        <f>I246*Dashboard!$I$4</f>
        <v>15750</v>
      </c>
      <c r="L265" s="48"/>
      <c r="M265" s="7">
        <f t="shared" si="68"/>
        <v>12</v>
      </c>
      <c r="N265" s="31">
        <f>M265*Dashboard!$I$3</f>
        <v>20136</v>
      </c>
      <c r="O265" s="18">
        <f>M244*Dashboard!$I$4</f>
        <v>21000</v>
      </c>
      <c r="P265" s="48"/>
      <c r="Q265" s="32">
        <f t="shared" si="57"/>
        <v>30</v>
      </c>
      <c r="R265" s="31">
        <f t="shared" si="58"/>
        <v>50340</v>
      </c>
      <c r="S265" s="31">
        <f t="shared" si="59"/>
        <v>52500</v>
      </c>
      <c r="T265" s="31">
        <f t="shared" si="60"/>
        <v>2160</v>
      </c>
      <c r="U265" s="31">
        <f>U264-R265+S265+V265-Custos!D265+Z264+AF264+AL264-AB264-AH264-AM264</f>
        <v>164563.96506012432</v>
      </c>
      <c r="V265" s="31">
        <f>U264*(((1+Dashboard!$C$17)^(1/30))-1)</f>
        <v>61.637899939677041</v>
      </c>
      <c r="W265" s="29">
        <f t="shared" si="61"/>
        <v>214903.96506012432</v>
      </c>
      <c r="X265" s="45">
        <f>-R265+S265-Custos!D265</f>
        <v>656.59999999999991</v>
      </c>
      <c r="Z265" s="83">
        <v>0</v>
      </c>
      <c r="AA265" s="33">
        <f>AC264*(((1+Dashboard!$C$20)^(1/30))-1)</f>
        <v>309.65557992885192</v>
      </c>
      <c r="AB265" s="84">
        <v>0</v>
      </c>
      <c r="AC265" s="18">
        <f t="shared" si="69"/>
        <v>675916.74954266334</v>
      </c>
      <c r="AD265" s="47">
        <f t="shared" si="62"/>
        <v>0</v>
      </c>
      <c r="AF265" s="83">
        <v>0</v>
      </c>
      <c r="AG265" s="33">
        <f>AI264*(((1+Dashboard!$C$21)^(1/30))-1)</f>
        <v>58.430254814609128</v>
      </c>
      <c r="AH265" s="84">
        <v>0</v>
      </c>
      <c r="AI265" s="29">
        <f t="shared" si="70"/>
        <v>114228.37850170216</v>
      </c>
      <c r="AJ265" s="45">
        <f t="shared" si="63"/>
        <v>0</v>
      </c>
      <c r="AL265" s="83">
        <v>0</v>
      </c>
      <c r="AM265" s="22">
        <v>0</v>
      </c>
      <c r="AN265" s="45">
        <f t="shared" si="64"/>
        <v>0</v>
      </c>
    </row>
    <row r="266" spans="2:40" x14ac:dyDescent="0.25">
      <c r="B266" s="53">
        <f>B265*(((1+Dashboard!$C$20)^(1/30)))</f>
        <v>1127044.2450818911</v>
      </c>
      <c r="C266" s="1">
        <v>262</v>
      </c>
      <c r="D266" s="51">
        <f t="shared" si="65"/>
        <v>46435</v>
      </c>
      <c r="E266" s="7">
        <f t="shared" si="66"/>
        <v>9</v>
      </c>
      <c r="F266" s="31">
        <f>E266*Dashboard!$I$3</f>
        <v>15102</v>
      </c>
      <c r="G266" s="18">
        <f>E249*Dashboard!$I$4</f>
        <v>15750</v>
      </c>
      <c r="H266" s="48"/>
      <c r="I266" s="7">
        <f t="shared" si="67"/>
        <v>9</v>
      </c>
      <c r="J266" s="31">
        <f>I266*Dashboard!$I$3</f>
        <v>15102</v>
      </c>
      <c r="K266" s="29">
        <f>I247*Dashboard!$I$4</f>
        <v>15750</v>
      </c>
      <c r="L266" s="48"/>
      <c r="M266" s="7">
        <f t="shared" si="68"/>
        <v>12</v>
      </c>
      <c r="N266" s="31">
        <f>M266*Dashboard!$I$3</f>
        <v>20136</v>
      </c>
      <c r="O266" s="18">
        <f>M245*Dashboard!$I$4</f>
        <v>21000</v>
      </c>
      <c r="P266" s="48"/>
      <c r="Q266" s="32">
        <f t="shared" si="57"/>
        <v>30</v>
      </c>
      <c r="R266" s="31">
        <f t="shared" si="58"/>
        <v>50340</v>
      </c>
      <c r="S266" s="31">
        <f t="shared" si="59"/>
        <v>52500</v>
      </c>
      <c r="T266" s="31">
        <f t="shared" si="60"/>
        <v>2160</v>
      </c>
      <c r="U266" s="31">
        <f>U265-R266+S266+V266-Custos!D266+Z265+AF265+AL265-AB265-AH265-AM265</f>
        <v>165282.47315738056</v>
      </c>
      <c r="V266" s="31">
        <f>U265*(((1+Dashboard!$C$17)^(1/30))-1)</f>
        <v>61.9080972562423</v>
      </c>
      <c r="W266" s="29">
        <f t="shared" si="61"/>
        <v>215622.47315738056</v>
      </c>
      <c r="X266" s="45">
        <f>-R266+S266-Custos!D266</f>
        <v>656.59999999999991</v>
      </c>
      <c r="Z266" s="83">
        <v>0</v>
      </c>
      <c r="AA266" s="33">
        <f>AC265*(((1+Dashboard!$C$20)^(1/30))-1)</f>
        <v>309.79750647023661</v>
      </c>
      <c r="AB266" s="84">
        <v>0</v>
      </c>
      <c r="AC266" s="18">
        <f t="shared" si="69"/>
        <v>676226.54704913357</v>
      </c>
      <c r="AD266" s="47">
        <f t="shared" si="62"/>
        <v>0</v>
      </c>
      <c r="AF266" s="83">
        <v>0</v>
      </c>
      <c r="AG266" s="33">
        <f>AI265*(((1+Dashboard!$C$21)^(1/30))-1)</f>
        <v>58.460158433995183</v>
      </c>
      <c r="AH266" s="84">
        <v>0</v>
      </c>
      <c r="AI266" s="29">
        <f t="shared" si="70"/>
        <v>114286.83866013616</v>
      </c>
      <c r="AJ266" s="45">
        <f t="shared" si="63"/>
        <v>0</v>
      </c>
      <c r="AL266" s="83">
        <v>0</v>
      </c>
      <c r="AM266" s="22">
        <v>0</v>
      </c>
      <c r="AN266" s="45">
        <f t="shared" si="64"/>
        <v>0</v>
      </c>
    </row>
    <row r="267" spans="2:40" x14ac:dyDescent="0.25">
      <c r="B267" s="53">
        <f>B266*(((1+Dashboard!$C$20)^(1/30)))</f>
        <v>1127560.810911994</v>
      </c>
      <c r="C267" s="1">
        <v>263</v>
      </c>
      <c r="D267" s="51">
        <f t="shared" si="65"/>
        <v>46436</v>
      </c>
      <c r="E267" s="7">
        <f t="shared" si="66"/>
        <v>9</v>
      </c>
      <c r="F267" s="31">
        <f>E267*Dashboard!$I$3</f>
        <v>15102</v>
      </c>
      <c r="G267" s="18">
        <f>E250*Dashboard!$I$4</f>
        <v>15750</v>
      </c>
      <c r="H267" s="48"/>
      <c r="I267" s="7">
        <f t="shared" si="67"/>
        <v>9</v>
      </c>
      <c r="J267" s="31">
        <f>I267*Dashboard!$I$3</f>
        <v>15102</v>
      </c>
      <c r="K267" s="29">
        <f>I248*Dashboard!$I$4</f>
        <v>15750</v>
      </c>
      <c r="L267" s="48"/>
      <c r="M267" s="7">
        <f t="shared" si="68"/>
        <v>12</v>
      </c>
      <c r="N267" s="31">
        <f>M267*Dashboard!$I$3</f>
        <v>20136</v>
      </c>
      <c r="O267" s="18">
        <f>M246*Dashboard!$I$4</f>
        <v>21000</v>
      </c>
      <c r="P267" s="48"/>
      <c r="Q267" s="32">
        <f t="shared" si="57"/>
        <v>30</v>
      </c>
      <c r="R267" s="31">
        <f t="shared" si="58"/>
        <v>50340</v>
      </c>
      <c r="S267" s="31">
        <f t="shared" si="59"/>
        <v>52500</v>
      </c>
      <c r="T267" s="31">
        <f t="shared" si="60"/>
        <v>2160</v>
      </c>
      <c r="U267" s="31">
        <f>U266-R267+S267+V267-Custos!D267+Z266+AF266+AL266-AB266-AH266-AM266</f>
        <v>166001.25155360019</v>
      </c>
      <c r="V267" s="31">
        <f>U266*(((1+Dashboard!$C$17)^(1/30))-1)</f>
        <v>62.178396219615514</v>
      </c>
      <c r="W267" s="29">
        <f t="shared" si="61"/>
        <v>216341.25155360019</v>
      </c>
      <c r="X267" s="45">
        <f>-R267+S267-Custos!D267</f>
        <v>656.59999999999991</v>
      </c>
      <c r="Z267" s="83">
        <v>0</v>
      </c>
      <c r="AA267" s="33">
        <f>AC266*(((1+Dashboard!$C$20)^(1/30))-1)</f>
        <v>309.93949806177523</v>
      </c>
      <c r="AB267" s="84">
        <v>0</v>
      </c>
      <c r="AC267" s="18">
        <f t="shared" si="69"/>
        <v>676536.48654719535</v>
      </c>
      <c r="AD267" s="47">
        <f t="shared" si="62"/>
        <v>0</v>
      </c>
      <c r="AF267" s="83">
        <v>0</v>
      </c>
      <c r="AG267" s="33">
        <f>AI266*(((1+Dashboard!$C$21)^(1/30))-1)</f>
        <v>58.490077357549517</v>
      </c>
      <c r="AH267" s="84">
        <v>0</v>
      </c>
      <c r="AI267" s="29">
        <f t="shared" si="70"/>
        <v>114345.32873749371</v>
      </c>
      <c r="AJ267" s="45">
        <f t="shared" si="63"/>
        <v>0</v>
      </c>
      <c r="AL267" s="83">
        <v>0</v>
      </c>
      <c r="AM267" s="22">
        <v>0</v>
      </c>
      <c r="AN267" s="45">
        <f t="shared" si="64"/>
        <v>0</v>
      </c>
    </row>
    <row r="268" spans="2:40" x14ac:dyDescent="0.25">
      <c r="B268" s="53">
        <f>B267*(((1+Dashboard!$C$20)^(1/30)))</f>
        <v>1128077.6135032161</v>
      </c>
      <c r="C268" s="1">
        <v>264</v>
      </c>
      <c r="D268" s="51">
        <f t="shared" si="65"/>
        <v>46437</v>
      </c>
      <c r="E268" s="7">
        <f t="shared" si="66"/>
        <v>9</v>
      </c>
      <c r="F268" s="31">
        <f>E268*Dashboard!$I$3</f>
        <v>15102</v>
      </c>
      <c r="G268" s="18">
        <f>E251*Dashboard!$I$4</f>
        <v>15750</v>
      </c>
      <c r="H268" s="48"/>
      <c r="I268" s="7">
        <f t="shared" si="67"/>
        <v>9</v>
      </c>
      <c r="J268" s="31">
        <f>I268*Dashboard!$I$3</f>
        <v>15102</v>
      </c>
      <c r="K268" s="29">
        <f>I249*Dashboard!$I$4</f>
        <v>15750</v>
      </c>
      <c r="L268" s="48"/>
      <c r="M268" s="7">
        <f t="shared" si="68"/>
        <v>12</v>
      </c>
      <c r="N268" s="31">
        <f>M268*Dashboard!$I$3</f>
        <v>20136</v>
      </c>
      <c r="O268" s="18">
        <f>M247*Dashboard!$I$4</f>
        <v>21000</v>
      </c>
      <c r="P268" s="48"/>
      <c r="Q268" s="32">
        <f t="shared" si="57"/>
        <v>30</v>
      </c>
      <c r="R268" s="31">
        <f t="shared" si="58"/>
        <v>50340</v>
      </c>
      <c r="S268" s="31">
        <f t="shared" si="59"/>
        <v>52500</v>
      </c>
      <c r="T268" s="31">
        <f t="shared" si="60"/>
        <v>2160</v>
      </c>
      <c r="U268" s="31">
        <f>U267-R268+S268+V268-Custos!D268+Z267+AF267+AL267-AB267-AH267-AM267</f>
        <v>166720.30035046823</v>
      </c>
      <c r="V268" s="31">
        <f>U267*(((1+Dashboard!$C$17)^(1/30))-1)</f>
        <v>62.448796868035672</v>
      </c>
      <c r="W268" s="29">
        <f t="shared" si="61"/>
        <v>217060.30035046823</v>
      </c>
      <c r="X268" s="45">
        <f>-R268+S268-Custos!D268</f>
        <v>656.59999999999991</v>
      </c>
      <c r="Z268" s="83">
        <v>0</v>
      </c>
      <c r="AA268" s="33">
        <f>AC267*(((1+Dashboard!$C$20)^(1/30))-1)</f>
        <v>310.0815547332827</v>
      </c>
      <c r="AB268" s="84">
        <v>0</v>
      </c>
      <c r="AC268" s="18">
        <f t="shared" si="69"/>
        <v>676846.56810192869</v>
      </c>
      <c r="AD268" s="47">
        <f t="shared" si="62"/>
        <v>0</v>
      </c>
      <c r="AF268" s="83">
        <v>0</v>
      </c>
      <c r="AG268" s="33">
        <f>AI267*(((1+Dashboard!$C$21)^(1/30))-1)</f>
        <v>58.520011593104542</v>
      </c>
      <c r="AH268" s="84">
        <v>0</v>
      </c>
      <c r="AI268" s="29">
        <f t="shared" si="70"/>
        <v>114403.84874908681</v>
      </c>
      <c r="AJ268" s="45">
        <f t="shared" si="63"/>
        <v>0</v>
      </c>
      <c r="AL268" s="83">
        <v>0</v>
      </c>
      <c r="AM268" s="22">
        <v>0</v>
      </c>
      <c r="AN268" s="45">
        <f t="shared" si="64"/>
        <v>0</v>
      </c>
    </row>
    <row r="269" spans="2:40" x14ac:dyDescent="0.25">
      <c r="B269" s="53">
        <f>B268*(((1+Dashboard!$C$20)^(1/30)))</f>
        <v>1128594.6529640737</v>
      </c>
      <c r="C269" s="1">
        <v>265</v>
      </c>
      <c r="D269" s="51">
        <f t="shared" si="65"/>
        <v>46438</v>
      </c>
      <c r="E269" s="7">
        <f t="shared" si="66"/>
        <v>9</v>
      </c>
      <c r="F269" s="31">
        <f>E269*Dashboard!$I$3</f>
        <v>15102</v>
      </c>
      <c r="G269" s="18">
        <f>E252*Dashboard!$I$4</f>
        <v>15750</v>
      </c>
      <c r="H269" s="48"/>
      <c r="I269" s="7">
        <f t="shared" si="67"/>
        <v>9</v>
      </c>
      <c r="J269" s="31">
        <f>I269*Dashboard!$I$3</f>
        <v>15102</v>
      </c>
      <c r="K269" s="29">
        <f>I250*Dashboard!$I$4</f>
        <v>15750</v>
      </c>
      <c r="L269" s="48"/>
      <c r="M269" s="7">
        <f t="shared" si="68"/>
        <v>12</v>
      </c>
      <c r="N269" s="31">
        <f>M269*Dashboard!$I$3</f>
        <v>20136</v>
      </c>
      <c r="O269" s="18">
        <f>M248*Dashboard!$I$4</f>
        <v>21000</v>
      </c>
      <c r="P269" s="48"/>
      <c r="Q269" s="32">
        <f t="shared" si="57"/>
        <v>30</v>
      </c>
      <c r="R269" s="31">
        <f t="shared" si="58"/>
        <v>50340</v>
      </c>
      <c r="S269" s="31">
        <f t="shared" si="59"/>
        <v>52500</v>
      </c>
      <c r="T269" s="31">
        <f t="shared" si="60"/>
        <v>2160</v>
      </c>
      <c r="U269" s="31">
        <f>U268-R269+S269+V269-Custos!D269+Z268+AF268+AL268-AB268-AH268-AM268</f>
        <v>167439.61964970798</v>
      </c>
      <c r="V269" s="31">
        <f>U268*(((1+Dashboard!$C$17)^(1/30))-1)</f>
        <v>62.719299239756161</v>
      </c>
      <c r="W269" s="29">
        <f t="shared" si="61"/>
        <v>217779.61964970798</v>
      </c>
      <c r="X269" s="45">
        <f>-R269+S269-Custos!D269</f>
        <v>656.59999999999991</v>
      </c>
      <c r="Z269" s="83">
        <v>0</v>
      </c>
      <c r="AA269" s="33">
        <f>AC268*(((1+Dashboard!$C$20)^(1/30))-1)</f>
        <v>310.22367651458757</v>
      </c>
      <c r="AB269" s="84">
        <v>0</v>
      </c>
      <c r="AC269" s="18">
        <f t="shared" si="69"/>
        <v>677156.79177844326</v>
      </c>
      <c r="AD269" s="47">
        <f t="shared" si="62"/>
        <v>0</v>
      </c>
      <c r="AF269" s="83">
        <v>0</v>
      </c>
      <c r="AG269" s="33">
        <f>AI268*(((1+Dashboard!$C$21)^(1/30))-1)</f>
        <v>58.549961148496699</v>
      </c>
      <c r="AH269" s="84">
        <v>0</v>
      </c>
      <c r="AI269" s="29">
        <f t="shared" si="70"/>
        <v>114462.39871023531</v>
      </c>
      <c r="AJ269" s="45">
        <f t="shared" si="63"/>
        <v>0</v>
      </c>
      <c r="AL269" s="83">
        <v>0</v>
      </c>
      <c r="AM269" s="22">
        <v>0</v>
      </c>
      <c r="AN269" s="45">
        <f t="shared" si="64"/>
        <v>0</v>
      </c>
    </row>
    <row r="270" spans="2:40" x14ac:dyDescent="0.25">
      <c r="B270" s="53">
        <f>B269*(((1+Dashboard!$C$20)^(1/30)))</f>
        <v>1129111.929403133</v>
      </c>
      <c r="C270" s="1">
        <v>266</v>
      </c>
      <c r="D270" s="51">
        <f t="shared" si="65"/>
        <v>46439</v>
      </c>
      <c r="E270" s="7">
        <f t="shared" si="66"/>
        <v>9</v>
      </c>
      <c r="F270" s="31">
        <f>E270*Dashboard!$I$3</f>
        <v>15102</v>
      </c>
      <c r="G270" s="18">
        <f>E253*Dashboard!$I$4</f>
        <v>15750</v>
      </c>
      <c r="H270" s="48"/>
      <c r="I270" s="7">
        <f t="shared" si="67"/>
        <v>9</v>
      </c>
      <c r="J270" s="31">
        <f>I270*Dashboard!$I$3</f>
        <v>15102</v>
      </c>
      <c r="K270" s="29">
        <f>I251*Dashboard!$I$4</f>
        <v>15750</v>
      </c>
      <c r="L270" s="48"/>
      <c r="M270" s="7">
        <f t="shared" si="68"/>
        <v>12</v>
      </c>
      <c r="N270" s="31">
        <f>M270*Dashboard!$I$3</f>
        <v>20136</v>
      </c>
      <c r="O270" s="18">
        <f>M249*Dashboard!$I$4</f>
        <v>21000</v>
      </c>
      <c r="P270" s="48"/>
      <c r="Q270" s="32">
        <f t="shared" si="57"/>
        <v>30</v>
      </c>
      <c r="R270" s="31">
        <f t="shared" si="58"/>
        <v>50340</v>
      </c>
      <c r="S270" s="31">
        <f t="shared" si="59"/>
        <v>52500</v>
      </c>
      <c r="T270" s="31">
        <f t="shared" si="60"/>
        <v>2160</v>
      </c>
      <c r="U270" s="31">
        <f>U269-R270+S270+V270-Custos!D270+Z269+AF269+AL269-AB269-AH269-AM269</f>
        <v>168159.20955308102</v>
      </c>
      <c r="V270" s="31">
        <f>U269*(((1+Dashboard!$C$17)^(1/30))-1)</f>
        <v>62.989903373044733</v>
      </c>
      <c r="W270" s="29">
        <f t="shared" si="61"/>
        <v>218499.20955308102</v>
      </c>
      <c r="X270" s="45">
        <f>-R270+S270-Custos!D270</f>
        <v>656.59999999999991</v>
      </c>
      <c r="Z270" s="83">
        <v>0</v>
      </c>
      <c r="AA270" s="33">
        <f>AC269*(((1+Dashboard!$C$20)^(1/30))-1)</f>
        <v>310.36586343553199</v>
      </c>
      <c r="AB270" s="84">
        <v>0</v>
      </c>
      <c r="AC270" s="18">
        <f t="shared" si="69"/>
        <v>677467.15764187882</v>
      </c>
      <c r="AD270" s="47">
        <f t="shared" si="62"/>
        <v>0</v>
      </c>
      <c r="AF270" s="83">
        <v>0</v>
      </c>
      <c r="AG270" s="33">
        <f>AI269*(((1+Dashboard!$C$21)^(1/30))-1)</f>
        <v>58.579926031566401</v>
      </c>
      <c r="AH270" s="84">
        <v>0</v>
      </c>
      <c r="AI270" s="29">
        <f t="shared" si="70"/>
        <v>114520.97863626688</v>
      </c>
      <c r="AJ270" s="45">
        <f t="shared" si="63"/>
        <v>0</v>
      </c>
      <c r="AL270" s="83">
        <v>0</v>
      </c>
      <c r="AM270" s="22">
        <v>0</v>
      </c>
      <c r="AN270" s="45">
        <f t="shared" si="64"/>
        <v>0</v>
      </c>
    </row>
    <row r="271" spans="2:40" x14ac:dyDescent="0.25">
      <c r="B271" s="53">
        <f>B270*(((1+Dashboard!$C$20)^(1/30)))</f>
        <v>1129629.4429290097</v>
      </c>
      <c r="C271" s="1">
        <v>267</v>
      </c>
      <c r="D271" s="51">
        <f t="shared" si="65"/>
        <v>46440</v>
      </c>
      <c r="E271" s="7">
        <f t="shared" si="66"/>
        <v>9</v>
      </c>
      <c r="F271" s="31">
        <f>E271*Dashboard!$I$3</f>
        <v>15102</v>
      </c>
      <c r="G271" s="18">
        <f>E254*Dashboard!$I$4</f>
        <v>15750</v>
      </c>
      <c r="H271" s="48"/>
      <c r="I271" s="7">
        <f t="shared" si="67"/>
        <v>9</v>
      </c>
      <c r="J271" s="31">
        <f>I271*Dashboard!$I$3</f>
        <v>15102</v>
      </c>
      <c r="K271" s="29">
        <f>I252*Dashboard!$I$4</f>
        <v>15750</v>
      </c>
      <c r="L271" s="48"/>
      <c r="M271" s="7">
        <f t="shared" si="68"/>
        <v>12</v>
      </c>
      <c r="N271" s="31">
        <f>M271*Dashboard!$I$3</f>
        <v>20136</v>
      </c>
      <c r="O271" s="18">
        <f>M250*Dashboard!$I$4</f>
        <v>21000</v>
      </c>
      <c r="P271" s="48"/>
      <c r="Q271" s="32">
        <f t="shared" si="57"/>
        <v>30</v>
      </c>
      <c r="R271" s="31">
        <f t="shared" si="58"/>
        <v>50340</v>
      </c>
      <c r="S271" s="31">
        <f t="shared" si="59"/>
        <v>52500</v>
      </c>
      <c r="T271" s="31">
        <f t="shared" si="60"/>
        <v>2160</v>
      </c>
      <c r="U271" s="31">
        <f>U270-R271+S271+V271-Custos!D271+Z270+AF270+AL270-AB270-AH270-AM270</f>
        <v>168879.07016238722</v>
      </c>
      <c r="V271" s="31">
        <f>U270*(((1+Dashboard!$C$17)^(1/30))-1)</f>
        <v>63.260609306183575</v>
      </c>
      <c r="W271" s="29">
        <f t="shared" si="61"/>
        <v>219219.07016238722</v>
      </c>
      <c r="X271" s="45">
        <f>-R271+S271-Custos!D271</f>
        <v>656.59999999999991</v>
      </c>
      <c r="Z271" s="83">
        <v>0</v>
      </c>
      <c r="AA271" s="33">
        <f>AC270*(((1+Dashboard!$C$20)^(1/30))-1)</f>
        <v>310.50811552597196</v>
      </c>
      <c r="AB271" s="84">
        <v>0</v>
      </c>
      <c r="AC271" s="18">
        <f t="shared" si="69"/>
        <v>677777.66575740476</v>
      </c>
      <c r="AD271" s="47">
        <f t="shared" si="62"/>
        <v>0</v>
      </c>
      <c r="AF271" s="83">
        <v>0</v>
      </c>
      <c r="AG271" s="33">
        <f>AI270*(((1+Dashboard!$C$21)^(1/30))-1)</f>
        <v>58.609906250158105</v>
      </c>
      <c r="AH271" s="84">
        <v>0</v>
      </c>
      <c r="AI271" s="29">
        <f t="shared" si="70"/>
        <v>114579.58854251704</v>
      </c>
      <c r="AJ271" s="45">
        <f t="shared" si="63"/>
        <v>0</v>
      </c>
      <c r="AL271" s="83">
        <v>0</v>
      </c>
      <c r="AM271" s="22">
        <v>0</v>
      </c>
      <c r="AN271" s="45">
        <f t="shared" si="64"/>
        <v>0</v>
      </c>
    </row>
    <row r="272" spans="2:40" x14ac:dyDescent="0.25">
      <c r="B272" s="53">
        <f>B271*(((1+Dashboard!$C$20)^(1/30)))</f>
        <v>1130147.1936503693</v>
      </c>
      <c r="C272" s="1">
        <v>268</v>
      </c>
      <c r="D272" s="51">
        <f t="shared" si="65"/>
        <v>46441</v>
      </c>
      <c r="E272" s="7">
        <f t="shared" si="66"/>
        <v>9</v>
      </c>
      <c r="F272" s="31">
        <f>E272*Dashboard!$I$3</f>
        <v>15102</v>
      </c>
      <c r="G272" s="18">
        <f>E255*Dashboard!$I$4</f>
        <v>15750</v>
      </c>
      <c r="H272" s="48"/>
      <c r="I272" s="7">
        <f t="shared" si="67"/>
        <v>9</v>
      </c>
      <c r="J272" s="31">
        <f>I272*Dashboard!$I$3</f>
        <v>15102</v>
      </c>
      <c r="K272" s="29">
        <f>I253*Dashboard!$I$4</f>
        <v>15750</v>
      </c>
      <c r="L272" s="48"/>
      <c r="M272" s="7">
        <f t="shared" si="68"/>
        <v>12</v>
      </c>
      <c r="N272" s="31">
        <f>M272*Dashboard!$I$3</f>
        <v>20136</v>
      </c>
      <c r="O272" s="18">
        <f>M251*Dashboard!$I$4</f>
        <v>21000</v>
      </c>
      <c r="P272" s="48"/>
      <c r="Q272" s="32">
        <f t="shared" si="57"/>
        <v>30</v>
      </c>
      <c r="R272" s="31">
        <f t="shared" si="58"/>
        <v>50340</v>
      </c>
      <c r="S272" s="31">
        <f t="shared" si="59"/>
        <v>52500</v>
      </c>
      <c r="T272" s="31">
        <f t="shared" si="60"/>
        <v>2160</v>
      </c>
      <c r="U272" s="31">
        <f>U271-R272+S272+V272-Custos!D272+Z271+AF271+AL271-AB271-AH271-AM271</f>
        <v>169599.20157946469</v>
      </c>
      <c r="V272" s="31">
        <f>U271*(((1+Dashboard!$C$17)^(1/30))-1)</f>
        <v>63.53141707746925</v>
      </c>
      <c r="W272" s="29">
        <f t="shared" si="61"/>
        <v>219939.20157946469</v>
      </c>
      <c r="X272" s="45">
        <f>-R272+S272-Custos!D272</f>
        <v>656.59999999999991</v>
      </c>
      <c r="Z272" s="83">
        <v>0</v>
      </c>
      <c r="AA272" s="33">
        <f>AC271*(((1+Dashboard!$C$20)^(1/30))-1)</f>
        <v>310.65043281577692</v>
      </c>
      <c r="AB272" s="84">
        <v>0</v>
      </c>
      <c r="AC272" s="18">
        <f t="shared" si="69"/>
        <v>678088.31619022053</v>
      </c>
      <c r="AD272" s="47">
        <f t="shared" si="62"/>
        <v>0</v>
      </c>
      <c r="AF272" s="83">
        <v>0</v>
      </c>
      <c r="AG272" s="33">
        <f>AI271*(((1+Dashboard!$C$21)^(1/30))-1)</f>
        <v>58.639901812120279</v>
      </c>
      <c r="AH272" s="84">
        <v>0</v>
      </c>
      <c r="AI272" s="29">
        <f t="shared" si="70"/>
        <v>114638.22844432916</v>
      </c>
      <c r="AJ272" s="45">
        <f t="shared" si="63"/>
        <v>0</v>
      </c>
      <c r="AL272" s="83">
        <v>0</v>
      </c>
      <c r="AM272" s="22">
        <v>0</v>
      </c>
      <c r="AN272" s="45">
        <f t="shared" si="64"/>
        <v>0</v>
      </c>
    </row>
    <row r="273" spans="2:40" x14ac:dyDescent="0.25">
      <c r="B273" s="53">
        <f>B272*(((1+Dashboard!$C$20)^(1/30)))</f>
        <v>1130665.1816759272</v>
      </c>
      <c r="C273" s="1">
        <v>269</v>
      </c>
      <c r="D273" s="51">
        <f t="shared" si="65"/>
        <v>46442</v>
      </c>
      <c r="E273" s="7">
        <f t="shared" si="66"/>
        <v>9</v>
      </c>
      <c r="F273" s="31">
        <f>E273*Dashboard!$I$3</f>
        <v>15102</v>
      </c>
      <c r="G273" s="18">
        <f>E256*Dashboard!$I$4</f>
        <v>15750</v>
      </c>
      <c r="H273" s="48"/>
      <c r="I273" s="7">
        <f t="shared" si="67"/>
        <v>9</v>
      </c>
      <c r="J273" s="31">
        <f>I273*Dashboard!$I$3</f>
        <v>15102</v>
      </c>
      <c r="K273" s="29">
        <f>I254*Dashboard!$I$4</f>
        <v>15750</v>
      </c>
      <c r="L273" s="48"/>
      <c r="M273" s="7">
        <f t="shared" si="68"/>
        <v>12</v>
      </c>
      <c r="N273" s="31">
        <f>M273*Dashboard!$I$3</f>
        <v>20136</v>
      </c>
      <c r="O273" s="18">
        <f>M252*Dashboard!$I$4</f>
        <v>21000</v>
      </c>
      <c r="P273" s="48"/>
      <c r="Q273" s="32">
        <f t="shared" si="57"/>
        <v>30</v>
      </c>
      <c r="R273" s="31">
        <f t="shared" si="58"/>
        <v>50340</v>
      </c>
      <c r="S273" s="31">
        <f t="shared" si="59"/>
        <v>52500</v>
      </c>
      <c r="T273" s="31">
        <f t="shared" si="60"/>
        <v>2160</v>
      </c>
      <c r="U273" s="31">
        <f>U272-R273+S273+V273-Custos!D273+Z272+AF272+AL272-AB272-AH272-AM272</f>
        <v>170319.60390618991</v>
      </c>
      <c r="V273" s="31">
        <f>U272*(((1+Dashboard!$C$17)^(1/30))-1)</f>
        <v>63.802326725212723</v>
      </c>
      <c r="W273" s="29">
        <f t="shared" si="61"/>
        <v>220659.60390618991</v>
      </c>
      <c r="X273" s="45">
        <f>-R273+S273-Custos!D273</f>
        <v>656.59999999999991</v>
      </c>
      <c r="Z273" s="83">
        <v>0</v>
      </c>
      <c r="AA273" s="33">
        <f>AC272*(((1+Dashboard!$C$20)^(1/30))-1)</f>
        <v>310.79281533483027</v>
      </c>
      <c r="AB273" s="84">
        <v>0</v>
      </c>
      <c r="AC273" s="18">
        <f t="shared" si="69"/>
        <v>678399.10900555539</v>
      </c>
      <c r="AD273" s="47">
        <f t="shared" si="62"/>
        <v>0</v>
      </c>
      <c r="AF273" s="83">
        <v>0</v>
      </c>
      <c r="AG273" s="33">
        <f>AI272*(((1+Dashboard!$C$21)^(1/30))-1)</f>
        <v>58.669912725305387</v>
      </c>
      <c r="AH273" s="84">
        <v>0</v>
      </c>
      <c r="AI273" s="29">
        <f t="shared" si="70"/>
        <v>114696.89835705447</v>
      </c>
      <c r="AJ273" s="45">
        <f t="shared" si="63"/>
        <v>0</v>
      </c>
      <c r="AL273" s="83">
        <v>0</v>
      </c>
      <c r="AM273" s="22">
        <v>0</v>
      </c>
      <c r="AN273" s="45">
        <f t="shared" si="64"/>
        <v>0</v>
      </c>
    </row>
    <row r="274" spans="2:40" x14ac:dyDescent="0.25">
      <c r="B274" s="53">
        <f>B273*(((1+Dashboard!$C$20)^(1/30)))</f>
        <v>1131183.407114449</v>
      </c>
      <c r="C274" s="1">
        <v>270</v>
      </c>
      <c r="D274" s="51">
        <f t="shared" si="65"/>
        <v>46443</v>
      </c>
      <c r="E274" s="7">
        <f t="shared" si="66"/>
        <v>9</v>
      </c>
      <c r="F274" s="31">
        <f>E274*Dashboard!$I$3</f>
        <v>15102</v>
      </c>
      <c r="G274" s="18">
        <f>E257*Dashboard!$I$4</f>
        <v>15750</v>
      </c>
      <c r="H274" s="48"/>
      <c r="I274" s="7">
        <f t="shared" si="67"/>
        <v>9</v>
      </c>
      <c r="J274" s="31">
        <f>I274*Dashboard!$I$3</f>
        <v>15102</v>
      </c>
      <c r="K274" s="29">
        <f>I255*Dashboard!$I$4</f>
        <v>15750</v>
      </c>
      <c r="L274" s="48"/>
      <c r="M274" s="7">
        <f t="shared" si="68"/>
        <v>12</v>
      </c>
      <c r="N274" s="31">
        <f>M274*Dashboard!$I$3</f>
        <v>20136</v>
      </c>
      <c r="O274" s="18">
        <f>M253*Dashboard!$I$4</f>
        <v>21000</v>
      </c>
      <c r="P274" s="48"/>
      <c r="Q274" s="32">
        <f t="shared" si="57"/>
        <v>30</v>
      </c>
      <c r="R274" s="31">
        <f t="shared" si="58"/>
        <v>50340</v>
      </c>
      <c r="S274" s="31">
        <f t="shared" si="59"/>
        <v>52500</v>
      </c>
      <c r="T274" s="31">
        <f t="shared" si="60"/>
        <v>2160</v>
      </c>
      <c r="U274" s="31">
        <f>U273-R274+S274+V274-Custos!D274+Z273+AF273+AL273-AB273-AH273-AM273</f>
        <v>171040.27724447765</v>
      </c>
      <c r="V274" s="31">
        <f>U273*(((1+Dashboard!$C$17)^(1/30))-1)</f>
        <v>64.073338287739389</v>
      </c>
      <c r="W274" s="29">
        <f t="shared" si="61"/>
        <v>221380.27724447765</v>
      </c>
      <c r="X274" s="45">
        <f>-R274+S274-Custos!D274</f>
        <v>656.59999999999991</v>
      </c>
      <c r="Z274" s="83">
        <v>0</v>
      </c>
      <c r="AA274" s="33">
        <f>AC273*(((1+Dashboard!$C$20)^(1/30))-1)</f>
        <v>310.9352631130289</v>
      </c>
      <c r="AB274" s="84">
        <v>0</v>
      </c>
      <c r="AC274" s="18">
        <f t="shared" si="69"/>
        <v>678710.0442686684</v>
      </c>
      <c r="AD274" s="47">
        <f t="shared" si="62"/>
        <v>0</v>
      </c>
      <c r="AF274" s="83">
        <v>0</v>
      </c>
      <c r="AG274" s="33">
        <f>AI273*(((1+Dashboard!$C$21)^(1/30))-1)</f>
        <v>58.699938997569937</v>
      </c>
      <c r="AH274" s="84">
        <v>0</v>
      </c>
      <c r="AI274" s="29">
        <f t="shared" si="70"/>
        <v>114755.59829605203</v>
      </c>
      <c r="AJ274" s="45">
        <f t="shared" si="63"/>
        <v>0</v>
      </c>
      <c r="AL274" s="83">
        <v>0</v>
      </c>
      <c r="AM274" s="22">
        <v>0</v>
      </c>
      <c r="AN274" s="45">
        <f t="shared" si="64"/>
        <v>0</v>
      </c>
    </row>
    <row r="275" spans="2:40" x14ac:dyDescent="0.25">
      <c r="B275" s="53">
        <f>B274*(((1+Dashboard!$C$20)^(1/30)))</f>
        <v>1131701.8700747495</v>
      </c>
      <c r="C275" s="1">
        <v>271</v>
      </c>
      <c r="D275" s="51">
        <f t="shared" si="65"/>
        <v>46444</v>
      </c>
      <c r="E275" s="7">
        <f t="shared" si="66"/>
        <v>9</v>
      </c>
      <c r="F275" s="31">
        <f>E275*Dashboard!$I$3</f>
        <v>15102</v>
      </c>
      <c r="G275" s="18">
        <f>E258*Dashboard!$I$4</f>
        <v>15750</v>
      </c>
      <c r="H275" s="48"/>
      <c r="I275" s="7">
        <f t="shared" si="67"/>
        <v>9</v>
      </c>
      <c r="J275" s="31">
        <f>I275*Dashboard!$I$3</f>
        <v>15102</v>
      </c>
      <c r="K275" s="29">
        <f>I256*Dashboard!$I$4</f>
        <v>15750</v>
      </c>
      <c r="L275" s="48"/>
      <c r="M275" s="7">
        <f t="shared" si="68"/>
        <v>12</v>
      </c>
      <c r="N275" s="31">
        <f>M275*Dashboard!$I$3</f>
        <v>20136</v>
      </c>
      <c r="O275" s="18">
        <f>M254*Dashboard!$I$4</f>
        <v>21000</v>
      </c>
      <c r="P275" s="48"/>
      <c r="Q275" s="32">
        <f t="shared" si="57"/>
        <v>30</v>
      </c>
      <c r="R275" s="31">
        <f t="shared" si="58"/>
        <v>50340</v>
      </c>
      <c r="S275" s="31">
        <f t="shared" si="59"/>
        <v>52500</v>
      </c>
      <c r="T275" s="31">
        <f t="shared" si="60"/>
        <v>2160</v>
      </c>
      <c r="U275" s="31">
        <f>U274-R275+S275+V275-Custos!D275+Z274+AF274+AL274-AB274-AH274-AM274</f>
        <v>171761.22169628105</v>
      </c>
      <c r="V275" s="31">
        <f>U274*(((1+Dashboard!$C$17)^(1/30))-1)</f>
        <v>64.344451803389049</v>
      </c>
      <c r="W275" s="29">
        <f t="shared" si="61"/>
        <v>222101.22169628105</v>
      </c>
      <c r="X275" s="45">
        <f>-R275+S275-Custos!D275</f>
        <v>656.59999999999991</v>
      </c>
      <c r="Z275" s="83">
        <v>0</v>
      </c>
      <c r="AA275" s="33">
        <f>AC274*(((1+Dashboard!$C$20)^(1/30))-1)</f>
        <v>311.07777618028348</v>
      </c>
      <c r="AB275" s="84">
        <v>0</v>
      </c>
      <c r="AC275" s="18">
        <f t="shared" si="69"/>
        <v>679021.12204484863</v>
      </c>
      <c r="AD275" s="47">
        <f t="shared" si="62"/>
        <v>0</v>
      </c>
      <c r="AF275" s="83">
        <v>0</v>
      </c>
      <c r="AG275" s="33">
        <f>AI274*(((1+Dashboard!$C$21)^(1/30))-1)</f>
        <v>58.729980636774442</v>
      </c>
      <c r="AH275" s="84">
        <v>0</v>
      </c>
      <c r="AI275" s="29">
        <f t="shared" si="70"/>
        <v>114814.32827668882</v>
      </c>
      <c r="AJ275" s="45">
        <f t="shared" si="63"/>
        <v>0</v>
      </c>
      <c r="AL275" s="83">
        <v>0</v>
      </c>
      <c r="AM275" s="22">
        <v>0</v>
      </c>
      <c r="AN275" s="45">
        <f t="shared" si="64"/>
        <v>0</v>
      </c>
    </row>
    <row r="276" spans="2:40" x14ac:dyDescent="0.25">
      <c r="B276" s="53">
        <f>B275*(((1+Dashboard!$C$20)^(1/30)))</f>
        <v>1132220.5706656936</v>
      </c>
      <c r="C276" s="1">
        <v>272</v>
      </c>
      <c r="D276" s="51">
        <f t="shared" si="65"/>
        <v>46445</v>
      </c>
      <c r="E276" s="7">
        <f t="shared" si="66"/>
        <v>9</v>
      </c>
      <c r="F276" s="31">
        <f>E276*Dashboard!$I$3</f>
        <v>15102</v>
      </c>
      <c r="G276" s="18">
        <f>E259*Dashboard!$I$4</f>
        <v>15750</v>
      </c>
      <c r="H276" s="48"/>
      <c r="I276" s="7">
        <f t="shared" si="67"/>
        <v>9</v>
      </c>
      <c r="J276" s="31">
        <f>I276*Dashboard!$I$3</f>
        <v>15102</v>
      </c>
      <c r="K276" s="29">
        <f>I257*Dashboard!$I$4</f>
        <v>15750</v>
      </c>
      <c r="L276" s="48"/>
      <c r="M276" s="7">
        <f t="shared" si="68"/>
        <v>12</v>
      </c>
      <c r="N276" s="31">
        <f>M276*Dashboard!$I$3</f>
        <v>20136</v>
      </c>
      <c r="O276" s="18">
        <f>M255*Dashboard!$I$4</f>
        <v>21000</v>
      </c>
      <c r="P276" s="48"/>
      <c r="Q276" s="32">
        <f t="shared" si="57"/>
        <v>30</v>
      </c>
      <c r="R276" s="31">
        <f t="shared" si="58"/>
        <v>50340</v>
      </c>
      <c r="S276" s="31">
        <f t="shared" si="59"/>
        <v>52500</v>
      </c>
      <c r="T276" s="31">
        <f t="shared" si="60"/>
        <v>2160</v>
      </c>
      <c r="U276" s="31">
        <f>U275-R276+S276+V276-Custos!D276+Z275+AF275+AL275-AB275-AH275-AM275</f>
        <v>172482.43736359157</v>
      </c>
      <c r="V276" s="31">
        <f>U275*(((1+Dashboard!$C$17)^(1/30))-1)</f>
        <v>64.615667310515946</v>
      </c>
      <c r="W276" s="29">
        <f t="shared" si="61"/>
        <v>222822.43736359157</v>
      </c>
      <c r="X276" s="45">
        <f>-R276+S276-Custos!D276</f>
        <v>656.59999999999991</v>
      </c>
      <c r="Z276" s="83">
        <v>0</v>
      </c>
      <c r="AA276" s="33">
        <f>AC275*(((1+Dashboard!$C$20)^(1/30))-1)</f>
        <v>311.22035456651844</v>
      </c>
      <c r="AB276" s="84">
        <v>0</v>
      </c>
      <c r="AC276" s="18">
        <f t="shared" si="69"/>
        <v>679332.34239941509</v>
      </c>
      <c r="AD276" s="47">
        <f t="shared" si="62"/>
        <v>0</v>
      </c>
      <c r="AF276" s="83">
        <v>0</v>
      </c>
      <c r="AG276" s="33">
        <f>AI275*(((1+Dashboard!$C$21)^(1/30))-1)</f>
        <v>58.760037650783445</v>
      </c>
      <c r="AH276" s="84">
        <v>0</v>
      </c>
      <c r="AI276" s="29">
        <f t="shared" si="70"/>
        <v>114873.08831433959</v>
      </c>
      <c r="AJ276" s="45">
        <f t="shared" si="63"/>
        <v>0</v>
      </c>
      <c r="AL276" s="83">
        <v>0</v>
      </c>
      <c r="AM276" s="22">
        <v>0</v>
      </c>
      <c r="AN276" s="45">
        <f t="shared" si="64"/>
        <v>0</v>
      </c>
    </row>
    <row r="277" spans="2:40" x14ac:dyDescent="0.25">
      <c r="B277" s="53">
        <f>B276*(((1+Dashboard!$C$20)^(1/30)))</f>
        <v>1132739.5089961963</v>
      </c>
      <c r="C277" s="1">
        <v>273</v>
      </c>
      <c r="D277" s="51">
        <f t="shared" si="65"/>
        <v>46446</v>
      </c>
      <c r="E277" s="7">
        <f t="shared" si="66"/>
        <v>9</v>
      </c>
      <c r="F277" s="31">
        <f>E277*Dashboard!$I$3</f>
        <v>15102</v>
      </c>
      <c r="G277" s="18">
        <f>E260*Dashboard!$I$4</f>
        <v>15750</v>
      </c>
      <c r="H277" s="48"/>
      <c r="I277" s="7">
        <f t="shared" si="67"/>
        <v>9</v>
      </c>
      <c r="J277" s="31">
        <f>I277*Dashboard!$I$3</f>
        <v>15102</v>
      </c>
      <c r="K277" s="29">
        <f>I258*Dashboard!$I$4</f>
        <v>15750</v>
      </c>
      <c r="L277" s="48"/>
      <c r="M277" s="7">
        <f t="shared" si="68"/>
        <v>12</v>
      </c>
      <c r="N277" s="31">
        <f>M277*Dashboard!$I$3</f>
        <v>20136</v>
      </c>
      <c r="O277" s="18">
        <f>M256*Dashboard!$I$4</f>
        <v>21000</v>
      </c>
      <c r="P277" s="48"/>
      <c r="Q277" s="32">
        <f t="shared" si="57"/>
        <v>30</v>
      </c>
      <c r="R277" s="31">
        <f t="shared" si="58"/>
        <v>50340</v>
      </c>
      <c r="S277" s="31">
        <f t="shared" si="59"/>
        <v>52500</v>
      </c>
      <c r="T277" s="31">
        <f t="shared" si="60"/>
        <v>2160</v>
      </c>
      <c r="U277" s="31">
        <f>U276-R277+S277+V277-Custos!D277+Z276+AF276+AL276-AB276-AH276-AM276</f>
        <v>173203.92434843906</v>
      </c>
      <c r="V277" s="31">
        <f>U276*(((1+Dashboard!$C$17)^(1/30))-1)</f>
        <v>64.886984847488705</v>
      </c>
      <c r="W277" s="29">
        <f t="shared" si="61"/>
        <v>223543.92434843906</v>
      </c>
      <c r="X277" s="45">
        <f>-R277+S277-Custos!D277</f>
        <v>656.59999999999991</v>
      </c>
      <c r="Z277" s="83">
        <v>0</v>
      </c>
      <c r="AA277" s="33">
        <f>AC276*(((1+Dashboard!$C$20)^(1/30))-1)</f>
        <v>311.36299830167178</v>
      </c>
      <c r="AB277" s="84">
        <v>0</v>
      </c>
      <c r="AC277" s="18">
        <f t="shared" si="69"/>
        <v>679643.70539771672</v>
      </c>
      <c r="AD277" s="47">
        <f t="shared" si="62"/>
        <v>0</v>
      </c>
      <c r="AF277" s="83">
        <v>0</v>
      </c>
      <c r="AG277" s="33">
        <f>AI276*(((1+Dashboard!$C$21)^(1/30))-1)</f>
        <v>58.790110047465504</v>
      </c>
      <c r="AH277" s="84">
        <v>0</v>
      </c>
      <c r="AI277" s="29">
        <f t="shared" si="70"/>
        <v>114931.87842438706</v>
      </c>
      <c r="AJ277" s="45">
        <f t="shared" si="63"/>
        <v>0</v>
      </c>
      <c r="AL277" s="83">
        <v>0</v>
      </c>
      <c r="AM277" s="22">
        <v>0</v>
      </c>
      <c r="AN277" s="45">
        <f t="shared" si="64"/>
        <v>0</v>
      </c>
    </row>
    <row r="278" spans="2:40" x14ac:dyDescent="0.25">
      <c r="B278" s="53">
        <f>B277*(((1+Dashboard!$C$20)^(1/30)))</f>
        <v>1133258.6851752226</v>
      </c>
      <c r="C278" s="1">
        <v>274</v>
      </c>
      <c r="D278" s="51">
        <f t="shared" si="65"/>
        <v>46447</v>
      </c>
      <c r="E278" s="7">
        <f t="shared" si="66"/>
        <v>9</v>
      </c>
      <c r="F278" s="31">
        <f>E278*Dashboard!$I$3</f>
        <v>15102</v>
      </c>
      <c r="G278" s="18">
        <f>E261*Dashboard!$I$4</f>
        <v>15750</v>
      </c>
      <c r="H278" s="48"/>
      <c r="I278" s="7">
        <f t="shared" si="67"/>
        <v>9</v>
      </c>
      <c r="J278" s="31">
        <f>I278*Dashboard!$I$3</f>
        <v>15102</v>
      </c>
      <c r="K278" s="29">
        <f>I259*Dashboard!$I$4</f>
        <v>15750</v>
      </c>
      <c r="L278" s="48"/>
      <c r="M278" s="7">
        <f t="shared" si="68"/>
        <v>12</v>
      </c>
      <c r="N278" s="31">
        <f>M278*Dashboard!$I$3</f>
        <v>20136</v>
      </c>
      <c r="O278" s="18">
        <f>M257*Dashboard!$I$4</f>
        <v>21000</v>
      </c>
      <c r="P278" s="48"/>
      <c r="Q278" s="32">
        <f t="shared" si="57"/>
        <v>30</v>
      </c>
      <c r="R278" s="31">
        <f t="shared" si="58"/>
        <v>50340</v>
      </c>
      <c r="S278" s="31">
        <f t="shared" si="59"/>
        <v>52500</v>
      </c>
      <c r="T278" s="31">
        <f t="shared" si="60"/>
        <v>2160</v>
      </c>
      <c r="U278" s="31">
        <f>U277-R278+S278+V278-Custos!D278+Z277+AF277+AL277-AB277-AH277-AM277</f>
        <v>173925.68275289176</v>
      </c>
      <c r="V278" s="31">
        <f>U277*(((1+Dashboard!$C$17)^(1/30))-1)</f>
        <v>65.158404452690448</v>
      </c>
      <c r="W278" s="29">
        <f t="shared" si="61"/>
        <v>224265.68275289176</v>
      </c>
      <c r="X278" s="45">
        <f>-R278+S278-Custos!D278</f>
        <v>656.59999999999991</v>
      </c>
      <c r="Z278" s="83">
        <v>0</v>
      </c>
      <c r="AA278" s="33">
        <f>AC277*(((1+Dashboard!$C$20)^(1/30))-1)</f>
        <v>311.50570741569533</v>
      </c>
      <c r="AB278" s="84">
        <v>0</v>
      </c>
      <c r="AC278" s="18">
        <f t="shared" si="69"/>
        <v>679955.21110513248</v>
      </c>
      <c r="AD278" s="47">
        <f t="shared" si="62"/>
        <v>0</v>
      </c>
      <c r="AF278" s="83">
        <v>0</v>
      </c>
      <c r="AG278" s="33">
        <f>AI277*(((1+Dashboard!$C$21)^(1/30))-1)</f>
        <v>58.820197834693232</v>
      </c>
      <c r="AH278" s="84">
        <v>0</v>
      </c>
      <c r="AI278" s="29">
        <f t="shared" si="70"/>
        <v>114990.69862222175</v>
      </c>
      <c r="AJ278" s="45">
        <f t="shared" si="63"/>
        <v>0</v>
      </c>
      <c r="AL278" s="83">
        <v>0</v>
      </c>
      <c r="AM278" s="22">
        <v>0</v>
      </c>
      <c r="AN278" s="45">
        <f t="shared" si="64"/>
        <v>0</v>
      </c>
    </row>
    <row r="279" spans="2:40" x14ac:dyDescent="0.25">
      <c r="B279" s="53">
        <f>B278*(((1+Dashboard!$C$20)^(1/30)))</f>
        <v>1133778.0993117869</v>
      </c>
      <c r="C279" s="1">
        <v>275</v>
      </c>
      <c r="D279" s="51">
        <f t="shared" si="65"/>
        <v>46448</v>
      </c>
      <c r="E279" s="7">
        <f t="shared" si="66"/>
        <v>9</v>
      </c>
      <c r="F279" s="31">
        <f>E279*Dashboard!$I$3</f>
        <v>15102</v>
      </c>
      <c r="G279" s="18">
        <f>E262*Dashboard!$I$4</f>
        <v>15750</v>
      </c>
      <c r="H279" s="48"/>
      <c r="I279" s="7">
        <f t="shared" si="67"/>
        <v>9</v>
      </c>
      <c r="J279" s="31">
        <f>I279*Dashboard!$I$3</f>
        <v>15102</v>
      </c>
      <c r="K279" s="29">
        <f>I260*Dashboard!$I$4</f>
        <v>15750</v>
      </c>
      <c r="L279" s="48"/>
      <c r="M279" s="7">
        <f t="shared" si="68"/>
        <v>12</v>
      </c>
      <c r="N279" s="31">
        <f>M279*Dashboard!$I$3</f>
        <v>20136</v>
      </c>
      <c r="O279" s="18">
        <f>M258*Dashboard!$I$4</f>
        <v>21000</v>
      </c>
      <c r="P279" s="48"/>
      <c r="Q279" s="32">
        <f t="shared" si="57"/>
        <v>30</v>
      </c>
      <c r="R279" s="31">
        <f t="shared" si="58"/>
        <v>50340</v>
      </c>
      <c r="S279" s="31">
        <f t="shared" si="59"/>
        <v>52500</v>
      </c>
      <c r="T279" s="31">
        <f t="shared" si="60"/>
        <v>2160</v>
      </c>
      <c r="U279" s="31">
        <f>U278-R279+S279+V279-Custos!D279+Z278+AF278+AL278-AB278-AH278-AM278</f>
        <v>174647.71267905628</v>
      </c>
      <c r="V279" s="31">
        <f>U278*(((1+Dashboard!$C$17)^(1/30))-1)</f>
        <v>65.42992616451869</v>
      </c>
      <c r="W279" s="29">
        <f t="shared" si="61"/>
        <v>224987.71267905628</v>
      </c>
      <c r="X279" s="45">
        <f>-R279+S279-Custos!D279</f>
        <v>656.59999999999991</v>
      </c>
      <c r="Z279" s="83">
        <v>0</v>
      </c>
      <c r="AA279" s="33">
        <f>AC278*(((1+Dashboard!$C$20)^(1/30))-1)</f>
        <v>311.64848193855477</v>
      </c>
      <c r="AB279" s="84">
        <v>0</v>
      </c>
      <c r="AC279" s="18">
        <f t="shared" si="69"/>
        <v>680266.859587071</v>
      </c>
      <c r="AD279" s="47">
        <f t="shared" si="62"/>
        <v>0</v>
      </c>
      <c r="AF279" s="83">
        <v>0</v>
      </c>
      <c r="AG279" s="33">
        <f>AI278*(((1+Dashboard!$C$21)^(1/30))-1)</f>
        <v>58.850301020343231</v>
      </c>
      <c r="AH279" s="84">
        <v>0</v>
      </c>
      <c r="AI279" s="29">
        <f t="shared" si="70"/>
        <v>115049.5489232421</v>
      </c>
      <c r="AJ279" s="45">
        <f t="shared" si="63"/>
        <v>0</v>
      </c>
      <c r="AL279" s="83">
        <v>0</v>
      </c>
      <c r="AM279" s="22">
        <v>0</v>
      </c>
      <c r="AN279" s="45">
        <f t="shared" si="64"/>
        <v>0</v>
      </c>
    </row>
    <row r="280" spans="2:40" x14ac:dyDescent="0.25">
      <c r="B280" s="53">
        <f>B279*(((1+Dashboard!$C$20)^(1/30)))</f>
        <v>1134297.751514954</v>
      </c>
      <c r="C280" s="1">
        <v>276</v>
      </c>
      <c r="D280" s="51">
        <f t="shared" si="65"/>
        <v>46449</v>
      </c>
      <c r="E280" s="7">
        <f t="shared" si="66"/>
        <v>9</v>
      </c>
      <c r="F280" s="31">
        <f>E280*Dashboard!$I$3</f>
        <v>15102</v>
      </c>
      <c r="G280" s="18">
        <f>E263*Dashboard!$I$4</f>
        <v>15750</v>
      </c>
      <c r="H280" s="48"/>
      <c r="I280" s="7">
        <f t="shared" si="67"/>
        <v>9</v>
      </c>
      <c r="J280" s="31">
        <f>I280*Dashboard!$I$3</f>
        <v>15102</v>
      </c>
      <c r="K280" s="29">
        <f>I261*Dashboard!$I$4</f>
        <v>15750</v>
      </c>
      <c r="L280" s="48"/>
      <c r="M280" s="7">
        <f t="shared" si="68"/>
        <v>12</v>
      </c>
      <c r="N280" s="31">
        <f>M280*Dashboard!$I$3</f>
        <v>20136</v>
      </c>
      <c r="O280" s="18">
        <f>M259*Dashboard!$I$4</f>
        <v>21000</v>
      </c>
      <c r="P280" s="48"/>
      <c r="Q280" s="32">
        <f t="shared" si="57"/>
        <v>30</v>
      </c>
      <c r="R280" s="31">
        <f t="shared" si="58"/>
        <v>50340</v>
      </c>
      <c r="S280" s="31">
        <f t="shared" si="59"/>
        <v>52500</v>
      </c>
      <c r="T280" s="31">
        <f t="shared" si="60"/>
        <v>2160</v>
      </c>
      <c r="U280" s="31">
        <f>U279-R280+S280+V280-Custos!D280+Z279+AF279+AL279-AB279-AH279-AM279</f>
        <v>175370.01422907767</v>
      </c>
      <c r="V280" s="31">
        <f>U279*(((1+Dashboard!$C$17)^(1/30))-1)</f>
        <v>65.701550021385401</v>
      </c>
      <c r="W280" s="29">
        <f t="shared" si="61"/>
        <v>225710.01422907767</v>
      </c>
      <c r="X280" s="45">
        <f>-R280+S280-Custos!D280</f>
        <v>656.59999999999991</v>
      </c>
      <c r="Z280" s="83">
        <v>0</v>
      </c>
      <c r="AA280" s="33">
        <f>AC279*(((1+Dashboard!$C$20)^(1/30))-1)</f>
        <v>311.79132190022921</v>
      </c>
      <c r="AB280" s="84">
        <v>0</v>
      </c>
      <c r="AC280" s="18">
        <f t="shared" si="69"/>
        <v>680578.65090897121</v>
      </c>
      <c r="AD280" s="47">
        <f t="shared" si="62"/>
        <v>0</v>
      </c>
      <c r="AF280" s="83">
        <v>0</v>
      </c>
      <c r="AG280" s="33">
        <f>AI279*(((1+Dashboard!$C$21)^(1/30))-1)</f>
        <v>58.880419612296159</v>
      </c>
      <c r="AH280" s="84">
        <v>0</v>
      </c>
      <c r="AI280" s="29">
        <f t="shared" si="70"/>
        <v>115108.42934285439</v>
      </c>
      <c r="AJ280" s="45">
        <f t="shared" si="63"/>
        <v>0</v>
      </c>
      <c r="AL280" s="83">
        <v>0</v>
      </c>
      <c r="AM280" s="22">
        <v>0</v>
      </c>
      <c r="AN280" s="45">
        <f t="shared" si="64"/>
        <v>0</v>
      </c>
    </row>
    <row r="281" spans="2:40" x14ac:dyDescent="0.25">
      <c r="B281" s="53">
        <f>B280*(((1+Dashboard!$C$20)^(1/30)))</f>
        <v>1134817.6418938385</v>
      </c>
      <c r="C281" s="1">
        <v>277</v>
      </c>
      <c r="D281" s="51">
        <f t="shared" si="65"/>
        <v>46450</v>
      </c>
      <c r="E281" s="7">
        <f t="shared" si="66"/>
        <v>9</v>
      </c>
      <c r="F281" s="31">
        <f>E281*Dashboard!$I$3</f>
        <v>15102</v>
      </c>
      <c r="G281" s="18">
        <f>E264*Dashboard!$I$4</f>
        <v>15750</v>
      </c>
      <c r="H281" s="48"/>
      <c r="I281" s="7">
        <f t="shared" si="67"/>
        <v>9</v>
      </c>
      <c r="J281" s="31">
        <f>I281*Dashboard!$I$3</f>
        <v>15102</v>
      </c>
      <c r="K281" s="29">
        <f>I262*Dashboard!$I$4</f>
        <v>15750</v>
      </c>
      <c r="L281" s="48"/>
      <c r="M281" s="7">
        <f t="shared" si="68"/>
        <v>12</v>
      </c>
      <c r="N281" s="31">
        <f>M281*Dashboard!$I$3</f>
        <v>20136</v>
      </c>
      <c r="O281" s="18">
        <f>M260*Dashboard!$I$4</f>
        <v>21000</v>
      </c>
      <c r="P281" s="48"/>
      <c r="Q281" s="32">
        <f t="shared" si="57"/>
        <v>30</v>
      </c>
      <c r="R281" s="31">
        <f t="shared" si="58"/>
        <v>50340</v>
      </c>
      <c r="S281" s="31">
        <f t="shared" si="59"/>
        <v>52500</v>
      </c>
      <c r="T281" s="31">
        <f t="shared" si="60"/>
        <v>2160</v>
      </c>
      <c r="U281" s="31">
        <f>U280-R281+S281+V281-Custos!D281+Z280+AF280+AL280-AB280-AH280-AM280</f>
        <v>176092.58750513938</v>
      </c>
      <c r="V281" s="31">
        <f>U280*(((1+Dashboard!$C$17)^(1/30))-1)</f>
        <v>65.97327606171703</v>
      </c>
      <c r="W281" s="29">
        <f t="shared" si="61"/>
        <v>226432.58750513938</v>
      </c>
      <c r="X281" s="45">
        <f>-R281+S281-Custos!D281</f>
        <v>656.59999999999991</v>
      </c>
      <c r="Z281" s="83">
        <v>0</v>
      </c>
      <c r="AA281" s="33">
        <f>AC280*(((1+Dashboard!$C$20)^(1/30))-1)</f>
        <v>311.93422733071174</v>
      </c>
      <c r="AB281" s="84">
        <v>0</v>
      </c>
      <c r="AC281" s="18">
        <f t="shared" si="69"/>
        <v>680890.58513630193</v>
      </c>
      <c r="AD281" s="47">
        <f t="shared" si="62"/>
        <v>0</v>
      </c>
      <c r="AF281" s="83">
        <v>0</v>
      </c>
      <c r="AG281" s="33">
        <f>AI280*(((1+Dashboard!$C$21)^(1/30))-1)</f>
        <v>58.910553618436701</v>
      </c>
      <c r="AH281" s="84">
        <v>0</v>
      </c>
      <c r="AI281" s="29">
        <f t="shared" si="70"/>
        <v>115167.33989647283</v>
      </c>
      <c r="AJ281" s="45">
        <f t="shared" si="63"/>
        <v>0</v>
      </c>
      <c r="AL281" s="83">
        <v>0</v>
      </c>
      <c r="AM281" s="22">
        <v>0</v>
      </c>
      <c r="AN281" s="45">
        <f t="shared" si="64"/>
        <v>0</v>
      </c>
    </row>
    <row r="282" spans="2:40" x14ac:dyDescent="0.25">
      <c r="B282" s="53">
        <f>B281*(((1+Dashboard!$C$20)^(1/30)))</f>
        <v>1135337.7705576052</v>
      </c>
      <c r="C282" s="1">
        <v>278</v>
      </c>
      <c r="D282" s="51">
        <f t="shared" si="65"/>
        <v>46451</v>
      </c>
      <c r="E282" s="7">
        <f t="shared" si="66"/>
        <v>9</v>
      </c>
      <c r="F282" s="31">
        <f>E282*Dashboard!$I$3</f>
        <v>15102</v>
      </c>
      <c r="G282" s="18">
        <f>E265*Dashboard!$I$4</f>
        <v>15750</v>
      </c>
      <c r="H282" s="48"/>
      <c r="I282" s="7">
        <f t="shared" si="67"/>
        <v>9</v>
      </c>
      <c r="J282" s="31">
        <f>I282*Dashboard!$I$3</f>
        <v>15102</v>
      </c>
      <c r="K282" s="29">
        <f>I263*Dashboard!$I$4</f>
        <v>15750</v>
      </c>
      <c r="L282" s="48"/>
      <c r="M282" s="7">
        <f t="shared" si="68"/>
        <v>12</v>
      </c>
      <c r="N282" s="31">
        <f>M282*Dashboard!$I$3</f>
        <v>20136</v>
      </c>
      <c r="O282" s="18">
        <f>M261*Dashboard!$I$4</f>
        <v>21000</v>
      </c>
      <c r="P282" s="48"/>
      <c r="Q282" s="32">
        <f t="shared" si="57"/>
        <v>30</v>
      </c>
      <c r="R282" s="31">
        <f t="shared" si="58"/>
        <v>50340</v>
      </c>
      <c r="S282" s="31">
        <f t="shared" si="59"/>
        <v>52500</v>
      </c>
      <c r="T282" s="31">
        <f t="shared" si="60"/>
        <v>2160</v>
      </c>
      <c r="U282" s="31">
        <f>U281-R282+S282+V282-Custos!D282+Z281+AF281+AL281-AB281-AH281-AM281</f>
        <v>176815.43260946334</v>
      </c>
      <c r="V282" s="31">
        <f>U281*(((1+Dashboard!$C$17)^(1/30))-1)</f>
        <v>66.245104323954422</v>
      </c>
      <c r="W282" s="29">
        <f t="shared" si="61"/>
        <v>227155.43260946334</v>
      </c>
      <c r="X282" s="45">
        <f>-R282+S282-Custos!D282</f>
        <v>656.59999999999991</v>
      </c>
      <c r="Z282" s="83">
        <v>0</v>
      </c>
      <c r="AA282" s="33">
        <f>AC281*(((1+Dashboard!$C$20)^(1/30))-1)</f>
        <v>312.07719826000914</v>
      </c>
      <c r="AB282" s="84">
        <v>0</v>
      </c>
      <c r="AC282" s="18">
        <f t="shared" si="69"/>
        <v>681202.66233456193</v>
      </c>
      <c r="AD282" s="47">
        <f t="shared" si="62"/>
        <v>0</v>
      </c>
      <c r="AF282" s="83">
        <v>0</v>
      </c>
      <c r="AG282" s="33">
        <f>AI281*(((1+Dashboard!$C$21)^(1/30))-1)</f>
        <v>58.940703046653589</v>
      </c>
      <c r="AH282" s="84">
        <v>0</v>
      </c>
      <c r="AI282" s="29">
        <f t="shared" si="70"/>
        <v>115226.28059951948</v>
      </c>
      <c r="AJ282" s="45">
        <f t="shared" si="63"/>
        <v>0</v>
      </c>
      <c r="AL282" s="83">
        <v>0</v>
      </c>
      <c r="AM282" s="22">
        <v>0</v>
      </c>
      <c r="AN282" s="45">
        <f t="shared" si="64"/>
        <v>0</v>
      </c>
    </row>
    <row r="283" spans="2:40" x14ac:dyDescent="0.25">
      <c r="B283" s="53">
        <f>B282*(((1+Dashboard!$C$20)^(1/30)))</f>
        <v>1135858.1376154688</v>
      </c>
      <c r="C283" s="1">
        <v>279</v>
      </c>
      <c r="D283" s="51">
        <f t="shared" si="65"/>
        <v>46452</v>
      </c>
      <c r="E283" s="7">
        <f t="shared" si="66"/>
        <v>9</v>
      </c>
      <c r="F283" s="31">
        <f>E283*Dashboard!$I$3</f>
        <v>15102</v>
      </c>
      <c r="G283" s="18">
        <f>E266*Dashboard!$I$4</f>
        <v>15750</v>
      </c>
      <c r="H283" s="48"/>
      <c r="I283" s="7">
        <f t="shared" si="67"/>
        <v>9</v>
      </c>
      <c r="J283" s="31">
        <f>I283*Dashboard!$I$3</f>
        <v>15102</v>
      </c>
      <c r="K283" s="29">
        <f>I264*Dashboard!$I$4</f>
        <v>15750</v>
      </c>
      <c r="L283" s="48"/>
      <c r="M283" s="7">
        <f t="shared" si="68"/>
        <v>12</v>
      </c>
      <c r="N283" s="31">
        <f>M283*Dashboard!$I$3</f>
        <v>20136</v>
      </c>
      <c r="O283" s="18">
        <f>M262*Dashboard!$I$4</f>
        <v>21000</v>
      </c>
      <c r="P283" s="48"/>
      <c r="Q283" s="32">
        <f t="shared" si="57"/>
        <v>30</v>
      </c>
      <c r="R283" s="31">
        <f t="shared" si="58"/>
        <v>50340</v>
      </c>
      <c r="S283" s="31">
        <f t="shared" si="59"/>
        <v>52500</v>
      </c>
      <c r="T283" s="31">
        <f t="shared" si="60"/>
        <v>2160</v>
      </c>
      <c r="U283" s="31">
        <f>U282-R283+S283+V283-Custos!D283+Z282+AF282+AL282-AB282-AH282-AM282</f>
        <v>177538.54964430991</v>
      </c>
      <c r="V283" s="31">
        <f>U282*(((1+Dashboard!$C$17)^(1/30))-1)</f>
        <v>66.51703484655296</v>
      </c>
      <c r="W283" s="29">
        <f t="shared" si="61"/>
        <v>227878.54964430991</v>
      </c>
      <c r="X283" s="45">
        <f>-R283+S283-Custos!D283</f>
        <v>656.59999999999991</v>
      </c>
      <c r="Z283" s="83">
        <v>0</v>
      </c>
      <c r="AA283" s="33">
        <f>AC282*(((1+Dashboard!$C$20)^(1/30))-1)</f>
        <v>312.22023471814185</v>
      </c>
      <c r="AB283" s="84">
        <v>0</v>
      </c>
      <c r="AC283" s="18">
        <f t="shared" si="69"/>
        <v>681514.8825692801</v>
      </c>
      <c r="AD283" s="47">
        <f t="shared" si="62"/>
        <v>0</v>
      </c>
      <c r="AF283" s="83">
        <v>0</v>
      </c>
      <c r="AG283" s="33">
        <f>AI282*(((1+Dashboard!$C$21)^(1/30))-1)</f>
        <v>58.970867904839572</v>
      </c>
      <c r="AH283" s="84">
        <v>0</v>
      </c>
      <c r="AI283" s="29">
        <f t="shared" si="70"/>
        <v>115285.25146742431</v>
      </c>
      <c r="AJ283" s="45">
        <f t="shared" si="63"/>
        <v>0</v>
      </c>
      <c r="AL283" s="83">
        <v>0</v>
      </c>
      <c r="AM283" s="22">
        <v>0</v>
      </c>
      <c r="AN283" s="45">
        <f t="shared" si="64"/>
        <v>0</v>
      </c>
    </row>
    <row r="284" spans="2:40" x14ac:dyDescent="0.25">
      <c r="B284" s="53">
        <f>B283*(((1+Dashboard!$C$20)^(1/30)))</f>
        <v>1136378.743176694</v>
      </c>
      <c r="C284" s="1">
        <v>280</v>
      </c>
      <c r="D284" s="51">
        <f t="shared" si="65"/>
        <v>46453</v>
      </c>
      <c r="E284" s="7">
        <f t="shared" si="66"/>
        <v>9</v>
      </c>
      <c r="F284" s="31">
        <f>E284*Dashboard!$I$3</f>
        <v>15102</v>
      </c>
      <c r="G284" s="18">
        <f>E267*Dashboard!$I$4</f>
        <v>15750</v>
      </c>
      <c r="H284" s="48"/>
      <c r="I284" s="7">
        <f t="shared" si="67"/>
        <v>9</v>
      </c>
      <c r="J284" s="31">
        <f>I284*Dashboard!$I$3</f>
        <v>15102</v>
      </c>
      <c r="K284" s="29">
        <f>I265*Dashboard!$I$4</f>
        <v>15750</v>
      </c>
      <c r="L284" s="48"/>
      <c r="M284" s="7">
        <f t="shared" si="68"/>
        <v>12</v>
      </c>
      <c r="N284" s="31">
        <f>M284*Dashboard!$I$3</f>
        <v>20136</v>
      </c>
      <c r="O284" s="18">
        <f>M263*Dashboard!$I$4</f>
        <v>21000</v>
      </c>
      <c r="P284" s="48"/>
      <c r="Q284" s="32">
        <f t="shared" si="57"/>
        <v>30</v>
      </c>
      <c r="R284" s="31">
        <f t="shared" si="58"/>
        <v>50340</v>
      </c>
      <c r="S284" s="31">
        <f t="shared" si="59"/>
        <v>52500</v>
      </c>
      <c r="T284" s="31">
        <f t="shared" si="60"/>
        <v>2160</v>
      </c>
      <c r="U284" s="31">
        <f>U283-R284+S284+V284-Custos!D284+Z283+AF283+AL283-AB283-AH283-AM283</f>
        <v>178261.93871197791</v>
      </c>
      <c r="V284" s="31">
        <f>U283*(((1+Dashboard!$C$17)^(1/30))-1)</f>
        <v>66.789067667982437</v>
      </c>
      <c r="W284" s="29">
        <f t="shared" si="61"/>
        <v>228601.93871197791</v>
      </c>
      <c r="X284" s="45">
        <f>-R284+S284-Custos!D284</f>
        <v>656.59999999999991</v>
      </c>
      <c r="Z284" s="83">
        <v>0</v>
      </c>
      <c r="AA284" s="33">
        <f>AC283*(((1+Dashboard!$C$20)^(1/30))-1)</f>
        <v>312.36333673514423</v>
      </c>
      <c r="AB284" s="84">
        <v>0</v>
      </c>
      <c r="AC284" s="18">
        <f t="shared" si="69"/>
        <v>681827.24590601528</v>
      </c>
      <c r="AD284" s="47">
        <f t="shared" si="62"/>
        <v>0</v>
      </c>
      <c r="AF284" s="83">
        <v>0</v>
      </c>
      <c r="AG284" s="33">
        <f>AI283*(((1+Dashboard!$C$21)^(1/30))-1)</f>
        <v>59.001048200891439</v>
      </c>
      <c r="AH284" s="84">
        <v>0</v>
      </c>
      <c r="AI284" s="29">
        <f t="shared" si="70"/>
        <v>115344.25251562521</v>
      </c>
      <c r="AJ284" s="45">
        <f t="shared" si="63"/>
        <v>0</v>
      </c>
      <c r="AL284" s="83">
        <v>0</v>
      </c>
      <c r="AM284" s="22">
        <v>0</v>
      </c>
      <c r="AN284" s="45">
        <f t="shared" si="64"/>
        <v>0</v>
      </c>
    </row>
    <row r="285" spans="2:40" x14ac:dyDescent="0.25">
      <c r="B285" s="53">
        <f>B284*(((1+Dashboard!$C$20)^(1/30)))</f>
        <v>1136899.5873505957</v>
      </c>
      <c r="C285" s="1">
        <v>281</v>
      </c>
      <c r="D285" s="51">
        <f t="shared" si="65"/>
        <v>46454</v>
      </c>
      <c r="E285" s="7">
        <f t="shared" si="66"/>
        <v>9</v>
      </c>
      <c r="F285" s="31">
        <f>E285*Dashboard!$I$3</f>
        <v>15102</v>
      </c>
      <c r="G285" s="18">
        <f>E268*Dashboard!$I$4</f>
        <v>15750</v>
      </c>
      <c r="H285" s="48"/>
      <c r="I285" s="7">
        <f t="shared" si="67"/>
        <v>9</v>
      </c>
      <c r="J285" s="31">
        <f>I285*Dashboard!$I$3</f>
        <v>15102</v>
      </c>
      <c r="K285" s="29">
        <f>I266*Dashboard!$I$4</f>
        <v>15750</v>
      </c>
      <c r="L285" s="48"/>
      <c r="M285" s="7">
        <f t="shared" si="68"/>
        <v>12</v>
      </c>
      <c r="N285" s="31">
        <f>M285*Dashboard!$I$3</f>
        <v>20136</v>
      </c>
      <c r="O285" s="18">
        <f>M264*Dashboard!$I$4</f>
        <v>21000</v>
      </c>
      <c r="P285" s="48"/>
      <c r="Q285" s="32">
        <f t="shared" si="57"/>
        <v>30</v>
      </c>
      <c r="R285" s="31">
        <f t="shared" si="58"/>
        <v>50340</v>
      </c>
      <c r="S285" s="31">
        <f t="shared" si="59"/>
        <v>52500</v>
      </c>
      <c r="T285" s="31">
        <f t="shared" si="60"/>
        <v>2160</v>
      </c>
      <c r="U285" s="31">
        <f>U284-R285+S285+V285-Custos!D285+Z284+AF284+AL284-AB284-AH284-AM284</f>
        <v>178985.59991480465</v>
      </c>
      <c r="V285" s="31">
        <f>U284*(((1+Dashboard!$C$17)^(1/30))-1)</f>
        <v>67.061202826727126</v>
      </c>
      <c r="W285" s="29">
        <f t="shared" si="61"/>
        <v>229325.59991480465</v>
      </c>
      <c r="X285" s="45">
        <f>-R285+S285-Custos!D285</f>
        <v>656.59999999999991</v>
      </c>
      <c r="Z285" s="83">
        <v>0</v>
      </c>
      <c r="AA285" s="33">
        <f>AC284*(((1+Dashboard!$C$20)^(1/30))-1)</f>
        <v>312.50650434106427</v>
      </c>
      <c r="AB285" s="84">
        <v>0</v>
      </c>
      <c r="AC285" s="18">
        <f t="shared" si="69"/>
        <v>682139.7524103563</v>
      </c>
      <c r="AD285" s="47">
        <f t="shared" si="62"/>
        <v>0</v>
      </c>
      <c r="AF285" s="83">
        <v>0</v>
      </c>
      <c r="AG285" s="33">
        <f>AI284*(((1+Dashboard!$C$21)^(1/30))-1)</f>
        <v>59.031243942710056</v>
      </c>
      <c r="AH285" s="84">
        <v>0</v>
      </c>
      <c r="AI285" s="29">
        <f t="shared" si="70"/>
        <v>115403.28375956792</v>
      </c>
      <c r="AJ285" s="45">
        <f t="shared" si="63"/>
        <v>0</v>
      </c>
      <c r="AL285" s="83">
        <v>0</v>
      </c>
      <c r="AM285" s="22">
        <v>0</v>
      </c>
      <c r="AN285" s="45">
        <f t="shared" si="64"/>
        <v>0</v>
      </c>
    </row>
    <row r="286" spans="2:40" x14ac:dyDescent="0.25">
      <c r="B286" s="53">
        <f>B285*(((1+Dashboard!$C$20)^(1/30)))</f>
        <v>1137420.6702465389</v>
      </c>
      <c r="C286" s="1">
        <v>282</v>
      </c>
      <c r="D286" s="51">
        <f t="shared" si="65"/>
        <v>46455</v>
      </c>
      <c r="E286" s="7">
        <f t="shared" si="66"/>
        <v>9</v>
      </c>
      <c r="F286" s="31">
        <f>E286*Dashboard!$I$3</f>
        <v>15102</v>
      </c>
      <c r="G286" s="18">
        <f>E269*Dashboard!$I$4</f>
        <v>15750</v>
      </c>
      <c r="H286" s="48"/>
      <c r="I286" s="7">
        <f t="shared" si="67"/>
        <v>9</v>
      </c>
      <c r="J286" s="31">
        <f>I286*Dashboard!$I$3</f>
        <v>15102</v>
      </c>
      <c r="K286" s="29">
        <f>I267*Dashboard!$I$4</f>
        <v>15750</v>
      </c>
      <c r="L286" s="48"/>
      <c r="M286" s="7">
        <f t="shared" si="68"/>
        <v>12</v>
      </c>
      <c r="N286" s="31">
        <f>M286*Dashboard!$I$3</f>
        <v>20136</v>
      </c>
      <c r="O286" s="18">
        <f>M265*Dashboard!$I$4</f>
        <v>21000</v>
      </c>
      <c r="P286" s="48"/>
      <c r="Q286" s="32">
        <f t="shared" si="57"/>
        <v>30</v>
      </c>
      <c r="R286" s="31">
        <f t="shared" si="58"/>
        <v>50340</v>
      </c>
      <c r="S286" s="31">
        <f t="shared" si="59"/>
        <v>52500</v>
      </c>
      <c r="T286" s="31">
        <f t="shared" si="60"/>
        <v>2160</v>
      </c>
      <c r="U286" s="31">
        <f>U285-R286+S286+V286-Custos!D286+Z285+AF285+AL285-AB285-AH285-AM285</f>
        <v>179709.53335516594</v>
      </c>
      <c r="V286" s="31">
        <f>U285*(((1+Dashboard!$C$17)^(1/30))-1)</f>
        <v>67.333440361285795</v>
      </c>
      <c r="W286" s="29">
        <f t="shared" si="61"/>
        <v>230049.53335516594</v>
      </c>
      <c r="X286" s="45">
        <f>-R286+S286-Custos!D286</f>
        <v>656.59999999999991</v>
      </c>
      <c r="Z286" s="83">
        <v>0</v>
      </c>
      <c r="AA286" s="33">
        <f>AC285*(((1+Dashboard!$C$20)^(1/30))-1)</f>
        <v>312.64973756596373</v>
      </c>
      <c r="AB286" s="84">
        <v>0</v>
      </c>
      <c r="AC286" s="18">
        <f t="shared" si="69"/>
        <v>682452.40214792232</v>
      </c>
      <c r="AD286" s="47">
        <f t="shared" si="62"/>
        <v>0</v>
      </c>
      <c r="AF286" s="83">
        <v>0</v>
      </c>
      <c r="AG286" s="33">
        <f>AI285*(((1+Dashboard!$C$21)^(1/30))-1)</f>
        <v>59.06145513820028</v>
      </c>
      <c r="AH286" s="84">
        <v>0</v>
      </c>
      <c r="AI286" s="29">
        <f t="shared" si="70"/>
        <v>115462.34521470612</v>
      </c>
      <c r="AJ286" s="45">
        <f t="shared" si="63"/>
        <v>0</v>
      </c>
      <c r="AL286" s="83">
        <v>0</v>
      </c>
      <c r="AM286" s="22">
        <v>0</v>
      </c>
      <c r="AN286" s="45">
        <f t="shared" si="64"/>
        <v>0</v>
      </c>
    </row>
    <row r="287" spans="2:40" x14ac:dyDescent="0.25">
      <c r="B287" s="53">
        <f>B286*(((1+Dashboard!$C$20)^(1/30)))</f>
        <v>1137941.9919739389</v>
      </c>
      <c r="C287" s="1">
        <v>283</v>
      </c>
      <c r="D287" s="51">
        <f t="shared" si="65"/>
        <v>46456</v>
      </c>
      <c r="E287" s="7">
        <f t="shared" si="66"/>
        <v>9</v>
      </c>
      <c r="F287" s="31">
        <f>E287*Dashboard!$I$3</f>
        <v>15102</v>
      </c>
      <c r="G287" s="18">
        <f>E270*Dashboard!$I$4</f>
        <v>15750</v>
      </c>
      <c r="H287" s="48"/>
      <c r="I287" s="7">
        <f t="shared" si="67"/>
        <v>9</v>
      </c>
      <c r="J287" s="31">
        <f>I287*Dashboard!$I$3</f>
        <v>15102</v>
      </c>
      <c r="K287" s="29">
        <f>I268*Dashboard!$I$4</f>
        <v>15750</v>
      </c>
      <c r="L287" s="48"/>
      <c r="M287" s="7">
        <f t="shared" si="68"/>
        <v>12</v>
      </c>
      <c r="N287" s="31">
        <f>M287*Dashboard!$I$3</f>
        <v>20136</v>
      </c>
      <c r="O287" s="18">
        <f>M266*Dashboard!$I$4</f>
        <v>21000</v>
      </c>
      <c r="P287" s="48"/>
      <c r="Q287" s="32">
        <f t="shared" si="57"/>
        <v>30</v>
      </c>
      <c r="R287" s="31">
        <f t="shared" si="58"/>
        <v>50340</v>
      </c>
      <c r="S287" s="31">
        <f t="shared" si="59"/>
        <v>52500</v>
      </c>
      <c r="T287" s="31">
        <f t="shared" si="60"/>
        <v>2160</v>
      </c>
      <c r="U287" s="31">
        <f>U286-R287+S287+V287-Custos!D287+Z286+AF286+AL286-AB286-AH286-AM286</f>
        <v>180433.73913547612</v>
      </c>
      <c r="V287" s="31">
        <f>U286*(((1+Dashboard!$C$17)^(1/30))-1)</f>
        <v>67.605780310171681</v>
      </c>
      <c r="W287" s="29">
        <f t="shared" si="61"/>
        <v>230773.73913547612</v>
      </c>
      <c r="X287" s="45">
        <f>-R287+S287-Custos!D287</f>
        <v>656.59999999999991</v>
      </c>
      <c r="Z287" s="83">
        <v>0</v>
      </c>
      <c r="AA287" s="33">
        <f>AC286*(((1+Dashboard!$C$20)^(1/30))-1)</f>
        <v>312.79303643991835</v>
      </c>
      <c r="AB287" s="84">
        <v>0</v>
      </c>
      <c r="AC287" s="18">
        <f t="shared" si="69"/>
        <v>682765.19518436224</v>
      </c>
      <c r="AD287" s="47">
        <f t="shared" si="62"/>
        <v>0</v>
      </c>
      <c r="AF287" s="83">
        <v>0</v>
      </c>
      <c r="AG287" s="33">
        <f>AI286*(((1+Dashboard!$C$21)^(1/30))-1)</f>
        <v>59.091681795271057</v>
      </c>
      <c r="AH287" s="84">
        <v>0</v>
      </c>
      <c r="AI287" s="29">
        <f t="shared" si="70"/>
        <v>115521.43689650139</v>
      </c>
      <c r="AJ287" s="45">
        <f t="shared" si="63"/>
        <v>0</v>
      </c>
      <c r="AL287" s="83">
        <v>0</v>
      </c>
      <c r="AM287" s="22">
        <v>0</v>
      </c>
      <c r="AN287" s="45">
        <f t="shared" si="64"/>
        <v>0</v>
      </c>
    </row>
    <row r="288" spans="2:40" x14ac:dyDescent="0.25">
      <c r="B288" s="53">
        <f>B287*(((1+Dashboard!$C$20)^(1/30)))</f>
        <v>1138463.5526422607</v>
      </c>
      <c r="C288" s="1">
        <v>284</v>
      </c>
      <c r="D288" s="51">
        <f t="shared" si="65"/>
        <v>46457</v>
      </c>
      <c r="E288" s="7">
        <f t="shared" si="66"/>
        <v>9</v>
      </c>
      <c r="F288" s="31">
        <f>E288*Dashboard!$I$3</f>
        <v>15102</v>
      </c>
      <c r="G288" s="18">
        <f>E271*Dashboard!$I$4</f>
        <v>15750</v>
      </c>
      <c r="H288" s="48"/>
      <c r="I288" s="7">
        <f t="shared" si="67"/>
        <v>9</v>
      </c>
      <c r="J288" s="31">
        <f>I288*Dashboard!$I$3</f>
        <v>15102</v>
      </c>
      <c r="K288" s="29">
        <f>I269*Dashboard!$I$4</f>
        <v>15750</v>
      </c>
      <c r="L288" s="48"/>
      <c r="M288" s="7">
        <f t="shared" si="68"/>
        <v>12</v>
      </c>
      <c r="N288" s="31">
        <f>M288*Dashboard!$I$3</f>
        <v>20136</v>
      </c>
      <c r="O288" s="18">
        <f>M267*Dashboard!$I$4</f>
        <v>21000</v>
      </c>
      <c r="P288" s="48"/>
      <c r="Q288" s="32">
        <f t="shared" si="57"/>
        <v>30</v>
      </c>
      <c r="R288" s="31">
        <f t="shared" si="58"/>
        <v>50340</v>
      </c>
      <c r="S288" s="31">
        <f t="shared" si="59"/>
        <v>52500</v>
      </c>
      <c r="T288" s="31">
        <f t="shared" si="60"/>
        <v>2160</v>
      </c>
      <c r="U288" s="31">
        <f>U287-R288+S288+V288-Custos!D288+Z287+AF287+AL287-AB287-AH287-AM287</f>
        <v>181158.21735818803</v>
      </c>
      <c r="V288" s="31">
        <f>U287*(((1+Dashboard!$C$17)^(1/30))-1)</f>
        <v>67.878222711912514</v>
      </c>
      <c r="W288" s="29">
        <f t="shared" si="61"/>
        <v>231498.21735818803</v>
      </c>
      <c r="X288" s="45">
        <f>-R288+S288-Custos!D288</f>
        <v>656.59999999999991</v>
      </c>
      <c r="Z288" s="83">
        <v>0</v>
      </c>
      <c r="AA288" s="33">
        <f>AC287*(((1+Dashboard!$C$20)^(1/30))-1)</f>
        <v>312.9364009930174</v>
      </c>
      <c r="AB288" s="84">
        <v>0</v>
      </c>
      <c r="AC288" s="18">
        <f t="shared" si="69"/>
        <v>683078.13158535527</v>
      </c>
      <c r="AD288" s="47">
        <f t="shared" si="62"/>
        <v>0</v>
      </c>
      <c r="AF288" s="83">
        <v>0</v>
      </c>
      <c r="AG288" s="33">
        <f>AI287*(((1+Dashboard!$C$21)^(1/30))-1)</f>
        <v>59.121923921835347</v>
      </c>
      <c r="AH288" s="84">
        <v>0</v>
      </c>
      <c r="AI288" s="29">
        <f t="shared" si="70"/>
        <v>115580.55882042322</v>
      </c>
      <c r="AJ288" s="45">
        <f t="shared" si="63"/>
        <v>0</v>
      </c>
      <c r="AL288" s="83">
        <v>0</v>
      </c>
      <c r="AM288" s="22">
        <v>0</v>
      </c>
      <c r="AN288" s="45">
        <f t="shared" si="64"/>
        <v>0</v>
      </c>
    </row>
    <row r="289" spans="2:40" x14ac:dyDescent="0.25">
      <c r="B289" s="53">
        <f>B288*(((1+Dashboard!$C$20)^(1/30)))</f>
        <v>1138985.3523610197</v>
      </c>
      <c r="C289" s="1">
        <v>285</v>
      </c>
      <c r="D289" s="51">
        <f t="shared" si="65"/>
        <v>46458</v>
      </c>
      <c r="E289" s="7">
        <f t="shared" si="66"/>
        <v>9</v>
      </c>
      <c r="F289" s="31">
        <f>E289*Dashboard!$I$3</f>
        <v>15102</v>
      </c>
      <c r="G289" s="18">
        <f>E272*Dashboard!$I$4</f>
        <v>15750</v>
      </c>
      <c r="H289" s="48"/>
      <c r="I289" s="7">
        <f t="shared" si="67"/>
        <v>9</v>
      </c>
      <c r="J289" s="31">
        <f>I289*Dashboard!$I$3</f>
        <v>15102</v>
      </c>
      <c r="K289" s="29">
        <f>I270*Dashboard!$I$4</f>
        <v>15750</v>
      </c>
      <c r="L289" s="48"/>
      <c r="M289" s="7">
        <f t="shared" si="68"/>
        <v>12</v>
      </c>
      <c r="N289" s="31">
        <f>M289*Dashboard!$I$3</f>
        <v>20136</v>
      </c>
      <c r="O289" s="18">
        <f>M268*Dashboard!$I$4</f>
        <v>21000</v>
      </c>
      <c r="P289" s="48"/>
      <c r="Q289" s="32">
        <f t="shared" si="57"/>
        <v>30</v>
      </c>
      <c r="R289" s="31">
        <f t="shared" si="58"/>
        <v>50340</v>
      </c>
      <c r="S289" s="31">
        <f t="shared" si="59"/>
        <v>52500</v>
      </c>
      <c r="T289" s="31">
        <f t="shared" si="60"/>
        <v>2160</v>
      </c>
      <c r="U289" s="31">
        <f>U288-R289+S289+V289-Custos!D289+Z288+AF288+AL288-AB288-AH288-AM288</f>
        <v>181882.96812579309</v>
      </c>
      <c r="V289" s="31">
        <f>U288*(((1+Dashboard!$C$17)^(1/30))-1)</f>
        <v>68.150767605050518</v>
      </c>
      <c r="W289" s="29">
        <f t="shared" si="61"/>
        <v>232222.96812579309</v>
      </c>
      <c r="X289" s="45">
        <f>-R289+S289-Custos!D289</f>
        <v>656.59999999999991</v>
      </c>
      <c r="Z289" s="83">
        <v>0</v>
      </c>
      <c r="AA289" s="33">
        <f>AC288*(((1+Dashboard!$C$20)^(1/30))-1)</f>
        <v>313.07983125536407</v>
      </c>
      <c r="AB289" s="84">
        <v>0</v>
      </c>
      <c r="AC289" s="18">
        <f t="shared" si="69"/>
        <v>683391.21141661063</v>
      </c>
      <c r="AD289" s="47">
        <f t="shared" si="62"/>
        <v>0</v>
      </c>
      <c r="AF289" s="83">
        <v>0</v>
      </c>
      <c r="AG289" s="33">
        <f>AI288*(((1+Dashboard!$C$21)^(1/30))-1)</f>
        <v>59.152181525810192</v>
      </c>
      <c r="AH289" s="84">
        <v>0</v>
      </c>
      <c r="AI289" s="29">
        <f t="shared" si="70"/>
        <v>115639.71100194904</v>
      </c>
      <c r="AJ289" s="45">
        <f t="shared" si="63"/>
        <v>0</v>
      </c>
      <c r="AL289" s="83">
        <v>0</v>
      </c>
      <c r="AM289" s="22">
        <v>0</v>
      </c>
      <c r="AN289" s="45">
        <f t="shared" si="64"/>
        <v>0</v>
      </c>
    </row>
    <row r="290" spans="2:40" x14ac:dyDescent="0.25">
      <c r="B290" s="53">
        <f>B289*(((1+Dashboard!$C$20)^(1/30)))</f>
        <v>1139507.3912397814</v>
      </c>
      <c r="C290" s="1">
        <v>286</v>
      </c>
      <c r="D290" s="51">
        <f t="shared" si="65"/>
        <v>46459</v>
      </c>
      <c r="E290" s="7">
        <f t="shared" si="66"/>
        <v>9</v>
      </c>
      <c r="F290" s="31">
        <f>E290*Dashboard!$I$3</f>
        <v>15102</v>
      </c>
      <c r="G290" s="18">
        <f>E273*Dashboard!$I$4</f>
        <v>15750</v>
      </c>
      <c r="H290" s="48"/>
      <c r="I290" s="7">
        <f t="shared" si="67"/>
        <v>9</v>
      </c>
      <c r="J290" s="31">
        <f>I290*Dashboard!$I$3</f>
        <v>15102</v>
      </c>
      <c r="K290" s="29">
        <f>I271*Dashboard!$I$4</f>
        <v>15750</v>
      </c>
      <c r="L290" s="48"/>
      <c r="M290" s="7">
        <f t="shared" si="68"/>
        <v>12</v>
      </c>
      <c r="N290" s="31">
        <f>M290*Dashboard!$I$3</f>
        <v>20136</v>
      </c>
      <c r="O290" s="18">
        <f>M269*Dashboard!$I$4</f>
        <v>21000</v>
      </c>
      <c r="P290" s="48"/>
      <c r="Q290" s="32">
        <f t="shared" si="57"/>
        <v>30</v>
      </c>
      <c r="R290" s="31">
        <f t="shared" si="58"/>
        <v>50340</v>
      </c>
      <c r="S290" s="31">
        <f t="shared" si="59"/>
        <v>52500</v>
      </c>
      <c r="T290" s="31">
        <f t="shared" si="60"/>
        <v>2160</v>
      </c>
      <c r="U290" s="31">
        <f>U289-R290+S290+V290-Custos!D290+Z289+AF289+AL289-AB289-AH289-AM289</f>
        <v>182607.99154082124</v>
      </c>
      <c r="V290" s="31">
        <f>U289*(((1+Dashboard!$C$17)^(1/30))-1)</f>
        <v>68.423415028142429</v>
      </c>
      <c r="W290" s="29">
        <f t="shared" si="61"/>
        <v>232947.99154082124</v>
      </c>
      <c r="X290" s="45">
        <f>-R290+S290-Custos!D290</f>
        <v>656.59999999999991</v>
      </c>
      <c r="Z290" s="83">
        <v>0</v>
      </c>
      <c r="AA290" s="33">
        <f>AC289*(((1+Dashboard!$C$20)^(1/30))-1)</f>
        <v>313.22332725707531</v>
      </c>
      <c r="AB290" s="84">
        <v>0</v>
      </c>
      <c r="AC290" s="18">
        <f t="shared" si="69"/>
        <v>683704.43474386772</v>
      </c>
      <c r="AD290" s="47">
        <f t="shared" si="62"/>
        <v>0</v>
      </c>
      <c r="AF290" s="83">
        <v>0</v>
      </c>
      <c r="AG290" s="33">
        <f>AI289*(((1+Dashboard!$C$21)^(1/30))-1)</f>
        <v>59.182454615116669</v>
      </c>
      <c r="AH290" s="84">
        <v>0</v>
      </c>
      <c r="AI290" s="29">
        <f t="shared" si="70"/>
        <v>115698.89345656415</v>
      </c>
      <c r="AJ290" s="45">
        <f t="shared" si="63"/>
        <v>0</v>
      </c>
      <c r="AL290" s="83">
        <v>0</v>
      </c>
      <c r="AM290" s="22">
        <v>0</v>
      </c>
      <c r="AN290" s="45">
        <f t="shared" si="64"/>
        <v>0</v>
      </c>
    </row>
    <row r="291" spans="2:40" x14ac:dyDescent="0.25">
      <c r="B291" s="53">
        <f>B290*(((1+Dashboard!$C$20)^(1/30)))</f>
        <v>1140029.669388162</v>
      </c>
      <c r="C291" s="1">
        <v>287</v>
      </c>
      <c r="D291" s="51">
        <f t="shared" si="65"/>
        <v>46460</v>
      </c>
      <c r="E291" s="7">
        <f t="shared" si="66"/>
        <v>9</v>
      </c>
      <c r="F291" s="31">
        <f>E291*Dashboard!$I$3</f>
        <v>15102</v>
      </c>
      <c r="G291" s="18">
        <f>E274*Dashboard!$I$4</f>
        <v>15750</v>
      </c>
      <c r="H291" s="48"/>
      <c r="I291" s="7">
        <f t="shared" si="67"/>
        <v>9</v>
      </c>
      <c r="J291" s="31">
        <f>I291*Dashboard!$I$3</f>
        <v>15102</v>
      </c>
      <c r="K291" s="29">
        <f>I272*Dashboard!$I$4</f>
        <v>15750</v>
      </c>
      <c r="L291" s="48"/>
      <c r="M291" s="7">
        <f t="shared" si="68"/>
        <v>12</v>
      </c>
      <c r="N291" s="31">
        <f>M291*Dashboard!$I$3</f>
        <v>20136</v>
      </c>
      <c r="O291" s="18">
        <f>M270*Dashboard!$I$4</f>
        <v>21000</v>
      </c>
      <c r="P291" s="48"/>
      <c r="Q291" s="32">
        <f t="shared" si="57"/>
        <v>30</v>
      </c>
      <c r="R291" s="31">
        <f t="shared" si="58"/>
        <v>50340</v>
      </c>
      <c r="S291" s="31">
        <f t="shared" si="59"/>
        <v>52500</v>
      </c>
      <c r="T291" s="31">
        <f t="shared" si="60"/>
        <v>2160</v>
      </c>
      <c r="U291" s="31">
        <f>U290-R291+S291+V291-Custos!D291+Z290+AF290+AL290-AB290-AH290-AM290</f>
        <v>183333.28770584101</v>
      </c>
      <c r="V291" s="31">
        <f>U290*(((1+Dashboard!$C$17)^(1/30))-1)</f>
        <v>68.696165019759476</v>
      </c>
      <c r="W291" s="29">
        <f t="shared" si="61"/>
        <v>233673.28770584101</v>
      </c>
      <c r="X291" s="45">
        <f>-R291+S291-Custos!D291</f>
        <v>656.59999999999991</v>
      </c>
      <c r="Z291" s="83">
        <v>0</v>
      </c>
      <c r="AA291" s="33">
        <f>AC290*(((1+Dashboard!$C$20)^(1/30))-1)</f>
        <v>313.36688902828195</v>
      </c>
      <c r="AB291" s="84">
        <v>0</v>
      </c>
      <c r="AC291" s="18">
        <f t="shared" si="69"/>
        <v>684017.80163289595</v>
      </c>
      <c r="AD291" s="47">
        <f t="shared" si="62"/>
        <v>0</v>
      </c>
      <c r="AF291" s="83">
        <v>0</v>
      </c>
      <c r="AG291" s="33">
        <f>AI290*(((1+Dashboard!$C$21)^(1/30))-1)</f>
        <v>59.212743197679892</v>
      </c>
      <c r="AH291" s="84">
        <v>0</v>
      </c>
      <c r="AI291" s="29">
        <f t="shared" si="70"/>
        <v>115758.10619976184</v>
      </c>
      <c r="AJ291" s="45">
        <f t="shared" si="63"/>
        <v>0</v>
      </c>
      <c r="AL291" s="83">
        <v>0</v>
      </c>
      <c r="AM291" s="22">
        <v>0</v>
      </c>
      <c r="AN291" s="45">
        <f t="shared" si="64"/>
        <v>0</v>
      </c>
    </row>
    <row r="292" spans="2:40" x14ac:dyDescent="0.25">
      <c r="B292" s="53">
        <f>B291*(((1+Dashboard!$C$20)^(1/30)))</f>
        <v>1140552.1869158272</v>
      </c>
      <c r="C292" s="1">
        <v>288</v>
      </c>
      <c r="D292" s="51">
        <f t="shared" si="65"/>
        <v>46461</v>
      </c>
      <c r="E292" s="7">
        <f t="shared" si="66"/>
        <v>9</v>
      </c>
      <c r="F292" s="31">
        <f>E292*Dashboard!$I$3</f>
        <v>15102</v>
      </c>
      <c r="G292" s="18">
        <f>E275*Dashboard!$I$4</f>
        <v>15750</v>
      </c>
      <c r="H292" s="48"/>
      <c r="I292" s="7">
        <f t="shared" si="67"/>
        <v>9</v>
      </c>
      <c r="J292" s="31">
        <f>I292*Dashboard!$I$3</f>
        <v>15102</v>
      </c>
      <c r="K292" s="29">
        <f>I273*Dashboard!$I$4</f>
        <v>15750</v>
      </c>
      <c r="L292" s="48"/>
      <c r="M292" s="7">
        <f t="shared" si="68"/>
        <v>12</v>
      </c>
      <c r="N292" s="31">
        <f>M292*Dashboard!$I$3</f>
        <v>20136</v>
      </c>
      <c r="O292" s="18">
        <f>M271*Dashboard!$I$4</f>
        <v>21000</v>
      </c>
      <c r="P292" s="48"/>
      <c r="Q292" s="32">
        <f t="shared" si="57"/>
        <v>30</v>
      </c>
      <c r="R292" s="31">
        <f t="shared" si="58"/>
        <v>50340</v>
      </c>
      <c r="S292" s="31">
        <f t="shared" si="59"/>
        <v>52500</v>
      </c>
      <c r="T292" s="31">
        <f t="shared" si="60"/>
        <v>2160</v>
      </c>
      <c r="U292" s="31">
        <f>U291-R292+S292+V292-Custos!D292+Z291+AF291+AL291-AB291-AH291-AM291</f>
        <v>184058.8567234595</v>
      </c>
      <c r="V292" s="31">
        <f>U291*(((1+Dashboard!$C$17)^(1/30))-1)</f>
        <v>68.969017618487385</v>
      </c>
      <c r="W292" s="29">
        <f t="shared" si="61"/>
        <v>234398.8567234595</v>
      </c>
      <c r="X292" s="45">
        <f>-R292+S292-Custos!D292</f>
        <v>656.59999999999991</v>
      </c>
      <c r="Z292" s="83">
        <v>0</v>
      </c>
      <c r="AA292" s="33">
        <f>AC291*(((1+Dashboard!$C$20)^(1/30))-1)</f>
        <v>313.51051659912844</v>
      </c>
      <c r="AB292" s="84">
        <v>0</v>
      </c>
      <c r="AC292" s="18">
        <f t="shared" si="69"/>
        <v>684331.31214949512</v>
      </c>
      <c r="AD292" s="47">
        <f t="shared" si="62"/>
        <v>0</v>
      </c>
      <c r="AF292" s="83">
        <v>0</v>
      </c>
      <c r="AG292" s="33">
        <f>AI291*(((1+Dashboard!$C$21)^(1/30))-1)</f>
        <v>59.243047281429071</v>
      </c>
      <c r="AH292" s="84">
        <v>0</v>
      </c>
      <c r="AI292" s="29">
        <f t="shared" si="70"/>
        <v>115817.34924704327</v>
      </c>
      <c r="AJ292" s="45">
        <f t="shared" si="63"/>
        <v>0</v>
      </c>
      <c r="AL292" s="83">
        <v>0</v>
      </c>
      <c r="AM292" s="22">
        <v>0</v>
      </c>
      <c r="AN292" s="45">
        <f t="shared" si="64"/>
        <v>0</v>
      </c>
    </row>
    <row r="293" spans="2:40" x14ac:dyDescent="0.25">
      <c r="B293" s="53">
        <f>B292*(((1+Dashboard!$C$20)^(1/30)))</f>
        <v>1141074.9439324935</v>
      </c>
      <c r="C293" s="1">
        <v>289</v>
      </c>
      <c r="D293" s="51">
        <f t="shared" si="65"/>
        <v>46462</v>
      </c>
      <c r="E293" s="7">
        <f t="shared" si="66"/>
        <v>9</v>
      </c>
      <c r="F293" s="31">
        <f>E293*Dashboard!$I$3</f>
        <v>15102</v>
      </c>
      <c r="G293" s="18">
        <f>E276*Dashboard!$I$4</f>
        <v>15750</v>
      </c>
      <c r="H293" s="48"/>
      <c r="I293" s="7">
        <f t="shared" si="67"/>
        <v>9</v>
      </c>
      <c r="J293" s="31">
        <f>I293*Dashboard!$I$3</f>
        <v>15102</v>
      </c>
      <c r="K293" s="29">
        <f>I274*Dashboard!$I$4</f>
        <v>15750</v>
      </c>
      <c r="L293" s="48"/>
      <c r="M293" s="7">
        <f t="shared" si="68"/>
        <v>12</v>
      </c>
      <c r="N293" s="31">
        <f>M293*Dashboard!$I$3</f>
        <v>20136</v>
      </c>
      <c r="O293" s="18">
        <f>M272*Dashboard!$I$4</f>
        <v>21000</v>
      </c>
      <c r="P293" s="48"/>
      <c r="Q293" s="32">
        <f t="shared" si="57"/>
        <v>30</v>
      </c>
      <c r="R293" s="31">
        <f t="shared" si="58"/>
        <v>50340</v>
      </c>
      <c r="S293" s="31">
        <f t="shared" si="59"/>
        <v>52500</v>
      </c>
      <c r="T293" s="31">
        <f t="shared" si="60"/>
        <v>2160</v>
      </c>
      <c r="U293" s="31">
        <f>U292-R293+S293+V293-Custos!D293+Z292+AF292+AL292-AB292-AH292-AM292</f>
        <v>184784.69869632242</v>
      </c>
      <c r="V293" s="31">
        <f>U292*(((1+Dashboard!$C$17)^(1/30))-1)</f>
        <v>69.241972862926403</v>
      </c>
      <c r="W293" s="29">
        <f t="shared" si="61"/>
        <v>235124.69869632242</v>
      </c>
      <c r="X293" s="45">
        <f>-R293+S293-Custos!D293</f>
        <v>656.59999999999991</v>
      </c>
      <c r="Z293" s="83">
        <v>0</v>
      </c>
      <c r="AA293" s="33">
        <f>AC292*(((1+Dashboard!$C$20)^(1/30))-1)</f>
        <v>313.65420999977334</v>
      </c>
      <c r="AB293" s="84">
        <v>0</v>
      </c>
      <c r="AC293" s="18">
        <f t="shared" si="69"/>
        <v>684644.96635949484</v>
      </c>
      <c r="AD293" s="47">
        <f t="shared" si="62"/>
        <v>0</v>
      </c>
      <c r="AF293" s="83">
        <v>0</v>
      </c>
      <c r="AG293" s="33">
        <f>AI292*(((1+Dashboard!$C$21)^(1/30))-1)</f>
        <v>59.273366874297437</v>
      </c>
      <c r="AH293" s="84">
        <v>0</v>
      </c>
      <c r="AI293" s="29">
        <f t="shared" si="70"/>
        <v>115876.62261391757</v>
      </c>
      <c r="AJ293" s="45">
        <f t="shared" si="63"/>
        <v>0</v>
      </c>
      <c r="AL293" s="83">
        <v>0</v>
      </c>
      <c r="AM293" s="22">
        <v>0</v>
      </c>
      <c r="AN293" s="45">
        <f t="shared" si="64"/>
        <v>0</v>
      </c>
    </row>
    <row r="294" spans="2:40" x14ac:dyDescent="0.25">
      <c r="B294" s="53">
        <f>B293*(((1+Dashboard!$C$20)^(1/30)))</f>
        <v>1141597.9405479275</v>
      </c>
      <c r="C294" s="1">
        <v>290</v>
      </c>
      <c r="D294" s="51">
        <f t="shared" si="65"/>
        <v>46463</v>
      </c>
      <c r="E294" s="7">
        <f t="shared" si="66"/>
        <v>9</v>
      </c>
      <c r="F294" s="31">
        <f>E294*Dashboard!$I$3</f>
        <v>15102</v>
      </c>
      <c r="G294" s="18">
        <f>E277*Dashboard!$I$4</f>
        <v>15750</v>
      </c>
      <c r="H294" s="48"/>
      <c r="I294" s="7">
        <f t="shared" si="67"/>
        <v>9</v>
      </c>
      <c r="J294" s="31">
        <f>I294*Dashboard!$I$3</f>
        <v>15102</v>
      </c>
      <c r="K294" s="29">
        <f>I275*Dashboard!$I$4</f>
        <v>15750</v>
      </c>
      <c r="L294" s="48"/>
      <c r="M294" s="7">
        <f t="shared" si="68"/>
        <v>12</v>
      </c>
      <c r="N294" s="31">
        <f>M294*Dashboard!$I$3</f>
        <v>20136</v>
      </c>
      <c r="O294" s="18">
        <f>M273*Dashboard!$I$4</f>
        <v>21000</v>
      </c>
      <c r="P294" s="48"/>
      <c r="Q294" s="32">
        <f t="shared" si="57"/>
        <v>30</v>
      </c>
      <c r="R294" s="31">
        <f t="shared" si="58"/>
        <v>50340</v>
      </c>
      <c r="S294" s="31">
        <f t="shared" si="59"/>
        <v>52500</v>
      </c>
      <c r="T294" s="31">
        <f t="shared" si="60"/>
        <v>2160</v>
      </c>
      <c r="U294" s="31">
        <f>U293-R294+S294+V294-Custos!D294+Z293+AF293+AL293-AB293-AH293-AM293</f>
        <v>185510.81372711412</v>
      </c>
      <c r="V294" s="31">
        <f>U293*(((1+Dashboard!$C$17)^(1/30))-1)</f>
        <v>69.515030791691331</v>
      </c>
      <c r="W294" s="29">
        <f t="shared" si="61"/>
        <v>235850.81372711412</v>
      </c>
      <c r="X294" s="45">
        <f>-R294+S294-Custos!D294</f>
        <v>656.59999999999991</v>
      </c>
      <c r="Z294" s="83">
        <v>0</v>
      </c>
      <c r="AA294" s="33">
        <f>AC293*(((1+Dashboard!$C$20)^(1/30))-1)</f>
        <v>313.7979692603887</v>
      </c>
      <c r="AB294" s="84">
        <v>0</v>
      </c>
      <c r="AC294" s="18">
        <f t="shared" si="69"/>
        <v>684958.76432875521</v>
      </c>
      <c r="AD294" s="47">
        <f t="shared" si="62"/>
        <v>0</v>
      </c>
      <c r="AF294" s="83">
        <v>0</v>
      </c>
      <c r="AG294" s="33">
        <f>AI293*(((1+Dashboard!$C$21)^(1/30))-1)</f>
        <v>59.3037019842223</v>
      </c>
      <c r="AH294" s="84">
        <v>0</v>
      </c>
      <c r="AI294" s="29">
        <f t="shared" si="70"/>
        <v>115935.92631590179</v>
      </c>
      <c r="AJ294" s="45">
        <f t="shared" si="63"/>
        <v>0</v>
      </c>
      <c r="AL294" s="83">
        <v>0</v>
      </c>
      <c r="AM294" s="22">
        <v>0</v>
      </c>
      <c r="AN294" s="45">
        <f t="shared" si="64"/>
        <v>0</v>
      </c>
    </row>
    <row r="295" spans="2:40" x14ac:dyDescent="0.25">
      <c r="B295" s="53">
        <f>B294*(((1+Dashboard!$C$20)^(1/30)))</f>
        <v>1142121.1768719461</v>
      </c>
      <c r="C295" s="1">
        <v>291</v>
      </c>
      <c r="D295" s="51">
        <f t="shared" si="65"/>
        <v>46464</v>
      </c>
      <c r="E295" s="7">
        <f t="shared" si="66"/>
        <v>9</v>
      </c>
      <c r="F295" s="31">
        <f>E295*Dashboard!$I$3</f>
        <v>15102</v>
      </c>
      <c r="G295" s="18">
        <f>E278*Dashboard!$I$4</f>
        <v>15750</v>
      </c>
      <c r="H295" s="48"/>
      <c r="I295" s="7">
        <f t="shared" si="67"/>
        <v>9</v>
      </c>
      <c r="J295" s="31">
        <f>I295*Dashboard!$I$3</f>
        <v>15102</v>
      </c>
      <c r="K295" s="29">
        <f>I276*Dashboard!$I$4</f>
        <v>15750</v>
      </c>
      <c r="L295" s="48"/>
      <c r="M295" s="7">
        <f t="shared" si="68"/>
        <v>12</v>
      </c>
      <c r="N295" s="31">
        <f>M295*Dashboard!$I$3</f>
        <v>20136</v>
      </c>
      <c r="O295" s="18">
        <f>M274*Dashboard!$I$4</f>
        <v>21000</v>
      </c>
      <c r="P295" s="48"/>
      <c r="Q295" s="32">
        <f t="shared" si="57"/>
        <v>30</v>
      </c>
      <c r="R295" s="31">
        <f t="shared" si="58"/>
        <v>50340</v>
      </c>
      <c r="S295" s="31">
        <f t="shared" si="59"/>
        <v>52500</v>
      </c>
      <c r="T295" s="31">
        <f t="shared" si="60"/>
        <v>2160</v>
      </c>
      <c r="U295" s="31">
        <f>U294-R295+S295+V295-Custos!D295+Z294+AF294+AL294-AB294-AH294-AM294</f>
        <v>186237.20191855755</v>
      </c>
      <c r="V295" s="31">
        <f>U294*(((1+Dashboard!$C$17)^(1/30))-1)</f>
        <v>69.788191443411449</v>
      </c>
      <c r="W295" s="29">
        <f t="shared" si="61"/>
        <v>236577.20191855755</v>
      </c>
      <c r="X295" s="45">
        <f>-R295+S295-Custos!D295</f>
        <v>656.59999999999991</v>
      </c>
      <c r="Z295" s="83">
        <v>0</v>
      </c>
      <c r="AA295" s="33">
        <f>AC294*(((1+Dashboard!$C$20)^(1/30))-1)</f>
        <v>313.94179441116069</v>
      </c>
      <c r="AB295" s="84">
        <v>0</v>
      </c>
      <c r="AC295" s="18">
        <f t="shared" si="69"/>
        <v>685272.70612316637</v>
      </c>
      <c r="AD295" s="47">
        <f t="shared" si="62"/>
        <v>0</v>
      </c>
      <c r="AF295" s="83">
        <v>0</v>
      </c>
      <c r="AG295" s="33">
        <f>AI294*(((1+Dashboard!$C$21)^(1/30))-1)</f>
        <v>59.334052619145019</v>
      </c>
      <c r="AH295" s="84">
        <v>0</v>
      </c>
      <c r="AI295" s="29">
        <f t="shared" si="70"/>
        <v>115995.26036852093</v>
      </c>
      <c r="AJ295" s="45">
        <f t="shared" si="63"/>
        <v>0</v>
      </c>
      <c r="AL295" s="83">
        <v>0</v>
      </c>
      <c r="AM295" s="22">
        <v>0</v>
      </c>
      <c r="AN295" s="45">
        <f t="shared" si="64"/>
        <v>0</v>
      </c>
    </row>
    <row r="296" spans="2:40" x14ac:dyDescent="0.25">
      <c r="B296" s="53">
        <f>B295*(((1+Dashboard!$C$20)^(1/30)))</f>
        <v>1142644.6530144166</v>
      </c>
      <c r="C296" s="1">
        <v>292</v>
      </c>
      <c r="D296" s="51">
        <f t="shared" si="65"/>
        <v>46465</v>
      </c>
      <c r="E296" s="7">
        <f t="shared" si="66"/>
        <v>9</v>
      </c>
      <c r="F296" s="31">
        <f>E296*Dashboard!$I$3</f>
        <v>15102</v>
      </c>
      <c r="G296" s="18">
        <f>E279*Dashboard!$I$4</f>
        <v>15750</v>
      </c>
      <c r="H296" s="48"/>
      <c r="I296" s="7">
        <f t="shared" si="67"/>
        <v>9</v>
      </c>
      <c r="J296" s="31">
        <f>I296*Dashboard!$I$3</f>
        <v>15102</v>
      </c>
      <c r="K296" s="29">
        <f>I277*Dashboard!$I$4</f>
        <v>15750</v>
      </c>
      <c r="L296" s="48"/>
      <c r="M296" s="7">
        <f t="shared" si="68"/>
        <v>12</v>
      </c>
      <c r="N296" s="31">
        <f>M296*Dashboard!$I$3</f>
        <v>20136</v>
      </c>
      <c r="O296" s="18">
        <f>M275*Dashboard!$I$4</f>
        <v>21000</v>
      </c>
      <c r="P296" s="48"/>
      <c r="Q296" s="32">
        <f t="shared" si="57"/>
        <v>30</v>
      </c>
      <c r="R296" s="31">
        <f t="shared" si="58"/>
        <v>50340</v>
      </c>
      <c r="S296" s="31">
        <f t="shared" si="59"/>
        <v>52500</v>
      </c>
      <c r="T296" s="31">
        <f t="shared" si="60"/>
        <v>2160</v>
      </c>
      <c r="U296" s="31">
        <f>U295-R296+S296+V296-Custos!D296+Z295+AF295+AL295-AB295-AH295-AM295</f>
        <v>186963.86337341429</v>
      </c>
      <c r="V296" s="31">
        <f>U295*(((1+Dashboard!$C$17)^(1/30))-1)</f>
        <v>70.06145485673062</v>
      </c>
      <c r="W296" s="29">
        <f t="shared" si="61"/>
        <v>237303.86337341429</v>
      </c>
      <c r="X296" s="45">
        <f>-R296+S296-Custos!D296</f>
        <v>656.59999999999991</v>
      </c>
      <c r="Z296" s="83">
        <v>0</v>
      </c>
      <c r="AA296" s="33">
        <f>AC295*(((1+Dashboard!$C$20)^(1/30))-1)</f>
        <v>314.08568548228914</v>
      </c>
      <c r="AB296" s="84">
        <v>0</v>
      </c>
      <c r="AC296" s="18">
        <f t="shared" si="69"/>
        <v>685586.79180864862</v>
      </c>
      <c r="AD296" s="47">
        <f t="shared" si="62"/>
        <v>0</v>
      </c>
      <c r="AF296" s="83">
        <v>0</v>
      </c>
      <c r="AG296" s="33">
        <f>AI295*(((1+Dashboard!$C$21)^(1/30))-1)</f>
        <v>59.36441878701104</v>
      </c>
      <c r="AH296" s="84">
        <v>0</v>
      </c>
      <c r="AI296" s="29">
        <f t="shared" si="70"/>
        <v>116054.62478730794</v>
      </c>
      <c r="AJ296" s="45">
        <f t="shared" si="63"/>
        <v>0</v>
      </c>
      <c r="AL296" s="83">
        <v>0</v>
      </c>
      <c r="AM296" s="22">
        <v>0</v>
      </c>
      <c r="AN296" s="45">
        <f t="shared" si="64"/>
        <v>0</v>
      </c>
    </row>
    <row r="297" spans="2:40" x14ac:dyDescent="0.25">
      <c r="B297" s="53">
        <f>B296*(((1+Dashboard!$C$20)^(1/30)))</f>
        <v>1143168.3690852565</v>
      </c>
      <c r="C297" s="1">
        <v>293</v>
      </c>
      <c r="D297" s="51">
        <f t="shared" si="65"/>
        <v>46466</v>
      </c>
      <c r="E297" s="7">
        <f t="shared" si="66"/>
        <v>9</v>
      </c>
      <c r="F297" s="31">
        <f>E297*Dashboard!$I$3</f>
        <v>15102</v>
      </c>
      <c r="G297" s="18">
        <f>E280*Dashboard!$I$4</f>
        <v>15750</v>
      </c>
      <c r="H297" s="48"/>
      <c r="I297" s="7">
        <f t="shared" si="67"/>
        <v>9</v>
      </c>
      <c r="J297" s="31">
        <f>I297*Dashboard!$I$3</f>
        <v>15102</v>
      </c>
      <c r="K297" s="29">
        <f>I278*Dashboard!$I$4</f>
        <v>15750</v>
      </c>
      <c r="L297" s="48"/>
      <c r="M297" s="7">
        <f t="shared" si="68"/>
        <v>12</v>
      </c>
      <c r="N297" s="31">
        <f>M297*Dashboard!$I$3</f>
        <v>20136</v>
      </c>
      <c r="O297" s="18">
        <f>M276*Dashboard!$I$4</f>
        <v>21000</v>
      </c>
      <c r="P297" s="48"/>
      <c r="Q297" s="32">
        <f t="shared" si="57"/>
        <v>30</v>
      </c>
      <c r="R297" s="31">
        <f t="shared" si="58"/>
        <v>50340</v>
      </c>
      <c r="S297" s="31">
        <f t="shared" si="59"/>
        <v>52500</v>
      </c>
      <c r="T297" s="31">
        <f t="shared" si="60"/>
        <v>2160</v>
      </c>
      <c r="U297" s="31">
        <f>U296-R297+S297+V297-Custos!D297+Z296+AF296+AL296-AB296-AH296-AM296</f>
        <v>187690.79819448461</v>
      </c>
      <c r="V297" s="31">
        <f>U296*(((1+Dashboard!$C$17)^(1/30))-1)</f>
        <v>70.3348210703072</v>
      </c>
      <c r="W297" s="29">
        <f t="shared" si="61"/>
        <v>238030.79819448461</v>
      </c>
      <c r="X297" s="45">
        <f>-R297+S297-Custos!D297</f>
        <v>656.59999999999991</v>
      </c>
      <c r="Z297" s="83">
        <v>0</v>
      </c>
      <c r="AA297" s="33">
        <f>AC296*(((1+Dashboard!$C$20)^(1/30))-1)</f>
        <v>314.2296425039878</v>
      </c>
      <c r="AB297" s="84">
        <v>0</v>
      </c>
      <c r="AC297" s="18">
        <f t="shared" si="69"/>
        <v>685901.02145115263</v>
      </c>
      <c r="AD297" s="47">
        <f t="shared" si="62"/>
        <v>0</v>
      </c>
      <c r="AF297" s="83">
        <v>0</v>
      </c>
      <c r="AG297" s="33">
        <f>AI296*(((1+Dashboard!$C$21)^(1/30))-1)</f>
        <v>59.394800495769857</v>
      </c>
      <c r="AH297" s="84">
        <v>0</v>
      </c>
      <c r="AI297" s="29">
        <f t="shared" si="70"/>
        <v>116114.0195878037</v>
      </c>
      <c r="AJ297" s="45">
        <f t="shared" si="63"/>
        <v>0</v>
      </c>
      <c r="AL297" s="83">
        <v>0</v>
      </c>
      <c r="AM297" s="22">
        <v>0</v>
      </c>
      <c r="AN297" s="45">
        <f t="shared" si="64"/>
        <v>0</v>
      </c>
    </row>
    <row r="298" spans="2:40" x14ac:dyDescent="0.25">
      <c r="B298" s="53">
        <f>B297*(((1+Dashboard!$C$20)^(1/30)))</f>
        <v>1143692.325194434</v>
      </c>
      <c r="C298" s="1">
        <v>294</v>
      </c>
      <c r="D298" s="51">
        <f t="shared" si="65"/>
        <v>46467</v>
      </c>
      <c r="E298" s="7">
        <f t="shared" si="66"/>
        <v>9</v>
      </c>
      <c r="F298" s="31">
        <f>E298*Dashboard!$I$3</f>
        <v>15102</v>
      </c>
      <c r="G298" s="18">
        <f>E281*Dashboard!$I$4</f>
        <v>15750</v>
      </c>
      <c r="H298" s="48"/>
      <c r="I298" s="7">
        <f t="shared" si="67"/>
        <v>9</v>
      </c>
      <c r="J298" s="31">
        <f>I298*Dashboard!$I$3</f>
        <v>15102</v>
      </c>
      <c r="K298" s="29">
        <f>I279*Dashboard!$I$4</f>
        <v>15750</v>
      </c>
      <c r="L298" s="48"/>
      <c r="M298" s="7">
        <f t="shared" si="68"/>
        <v>12</v>
      </c>
      <c r="N298" s="31">
        <f>M298*Dashboard!$I$3</f>
        <v>20136</v>
      </c>
      <c r="O298" s="18">
        <f>M277*Dashboard!$I$4</f>
        <v>21000</v>
      </c>
      <c r="P298" s="48"/>
      <c r="Q298" s="32">
        <f t="shared" si="57"/>
        <v>30</v>
      </c>
      <c r="R298" s="31">
        <f t="shared" si="58"/>
        <v>50340</v>
      </c>
      <c r="S298" s="31">
        <f t="shared" si="59"/>
        <v>52500</v>
      </c>
      <c r="T298" s="31">
        <f t="shared" si="60"/>
        <v>2160</v>
      </c>
      <c r="U298" s="31">
        <f>U297-R298+S298+V298-Custos!D298+Z297+AF297+AL297-AB297-AH297-AM297</f>
        <v>188418.00648460744</v>
      </c>
      <c r="V298" s="31">
        <f>U297*(((1+Dashboard!$C$17)^(1/30))-1)</f>
        <v>70.608290122814097</v>
      </c>
      <c r="W298" s="29">
        <f t="shared" si="61"/>
        <v>238758.00648460744</v>
      </c>
      <c r="X298" s="45">
        <f>-R298+S298-Custos!D298</f>
        <v>656.59999999999991</v>
      </c>
      <c r="Z298" s="83">
        <v>0</v>
      </c>
      <c r="AA298" s="33">
        <f>AC297*(((1+Dashboard!$C$20)^(1/30))-1)</f>
        <v>314.37366550648426</v>
      </c>
      <c r="AB298" s="84">
        <v>0</v>
      </c>
      <c r="AC298" s="18">
        <f t="shared" si="69"/>
        <v>686215.39511665911</v>
      </c>
      <c r="AD298" s="47">
        <f t="shared" si="62"/>
        <v>0</v>
      </c>
      <c r="AF298" s="83">
        <v>0</v>
      </c>
      <c r="AG298" s="33">
        <f>AI297*(((1+Dashboard!$C$21)^(1/30))-1)</f>
        <v>59.425197753375038</v>
      </c>
      <c r="AH298" s="84">
        <v>0</v>
      </c>
      <c r="AI298" s="29">
        <f t="shared" si="70"/>
        <v>116173.44478555708</v>
      </c>
      <c r="AJ298" s="45">
        <f t="shared" si="63"/>
        <v>0</v>
      </c>
      <c r="AL298" s="83">
        <v>0</v>
      </c>
      <c r="AM298" s="22">
        <v>0</v>
      </c>
      <c r="AN298" s="45">
        <f t="shared" si="64"/>
        <v>0</v>
      </c>
    </row>
    <row r="299" spans="2:40" x14ac:dyDescent="0.25">
      <c r="B299" s="53">
        <f>B298*(((1+Dashboard!$C$20)^(1/30)))</f>
        <v>1144216.5214519673</v>
      </c>
      <c r="C299" s="1">
        <v>295</v>
      </c>
      <c r="D299" s="51">
        <f t="shared" si="65"/>
        <v>46468</v>
      </c>
      <c r="E299" s="7">
        <f t="shared" si="66"/>
        <v>9</v>
      </c>
      <c r="F299" s="31">
        <f>E299*Dashboard!$I$3</f>
        <v>15102</v>
      </c>
      <c r="G299" s="18">
        <f>E282*Dashboard!$I$4</f>
        <v>15750</v>
      </c>
      <c r="H299" s="48"/>
      <c r="I299" s="7">
        <f t="shared" si="67"/>
        <v>9</v>
      </c>
      <c r="J299" s="31">
        <f>I299*Dashboard!$I$3</f>
        <v>15102</v>
      </c>
      <c r="K299" s="29">
        <f>I280*Dashboard!$I$4</f>
        <v>15750</v>
      </c>
      <c r="L299" s="48"/>
      <c r="M299" s="7">
        <f t="shared" si="68"/>
        <v>12</v>
      </c>
      <c r="N299" s="31">
        <f>M299*Dashboard!$I$3</f>
        <v>20136</v>
      </c>
      <c r="O299" s="18">
        <f>M278*Dashboard!$I$4</f>
        <v>21000</v>
      </c>
      <c r="P299" s="48"/>
      <c r="Q299" s="32">
        <f t="shared" si="57"/>
        <v>30</v>
      </c>
      <c r="R299" s="31">
        <f t="shared" si="58"/>
        <v>50340</v>
      </c>
      <c r="S299" s="31">
        <f t="shared" si="59"/>
        <v>52500</v>
      </c>
      <c r="T299" s="31">
        <f t="shared" si="60"/>
        <v>2160</v>
      </c>
      <c r="U299" s="31">
        <f>U298-R299+S299+V299-Custos!D299+Z298+AF298+AL298-AB298-AH298-AM298</f>
        <v>189145.48834666039</v>
      </c>
      <c r="V299" s="31">
        <f>U298*(((1+Dashboard!$C$17)^(1/30))-1)</f>
        <v>70.881862052938786</v>
      </c>
      <c r="W299" s="29">
        <f t="shared" si="61"/>
        <v>239485.48834666039</v>
      </c>
      <c r="X299" s="45">
        <f>-R299+S299-Custos!D299</f>
        <v>656.59999999999991</v>
      </c>
      <c r="Z299" s="83">
        <v>0</v>
      </c>
      <c r="AA299" s="33">
        <f>AC298*(((1+Dashboard!$C$20)^(1/30))-1)</f>
        <v>314.51775452001988</v>
      </c>
      <c r="AB299" s="84">
        <v>0</v>
      </c>
      <c r="AC299" s="18">
        <f t="shared" si="69"/>
        <v>686529.91287117917</v>
      </c>
      <c r="AD299" s="47">
        <f t="shared" si="62"/>
        <v>0</v>
      </c>
      <c r="AF299" s="83">
        <v>0</v>
      </c>
      <c r="AG299" s="33">
        <f>AI298*(((1+Dashboard!$C$21)^(1/30))-1)</f>
        <v>59.455610567784213</v>
      </c>
      <c r="AH299" s="84">
        <v>0</v>
      </c>
      <c r="AI299" s="29">
        <f t="shared" si="70"/>
        <v>116232.90039612487</v>
      </c>
      <c r="AJ299" s="45">
        <f t="shared" si="63"/>
        <v>0</v>
      </c>
      <c r="AL299" s="83">
        <v>0</v>
      </c>
      <c r="AM299" s="22">
        <v>0</v>
      </c>
      <c r="AN299" s="45">
        <f t="shared" si="64"/>
        <v>0</v>
      </c>
    </row>
    <row r="300" spans="2:40" x14ac:dyDescent="0.25">
      <c r="B300" s="53">
        <f>B299*(((1+Dashboard!$C$20)^(1/30)))</f>
        <v>1144740.9579679254</v>
      </c>
      <c r="C300" s="1">
        <v>296</v>
      </c>
      <c r="D300" s="51">
        <f t="shared" si="65"/>
        <v>46469</v>
      </c>
      <c r="E300" s="7">
        <f t="shared" si="66"/>
        <v>9</v>
      </c>
      <c r="F300" s="31">
        <f>E300*Dashboard!$I$3</f>
        <v>15102</v>
      </c>
      <c r="G300" s="18">
        <f>E283*Dashboard!$I$4</f>
        <v>15750</v>
      </c>
      <c r="H300" s="48"/>
      <c r="I300" s="7">
        <f t="shared" si="67"/>
        <v>9</v>
      </c>
      <c r="J300" s="31">
        <f>I300*Dashboard!$I$3</f>
        <v>15102</v>
      </c>
      <c r="K300" s="29">
        <f>I281*Dashboard!$I$4</f>
        <v>15750</v>
      </c>
      <c r="L300" s="48"/>
      <c r="M300" s="7">
        <f t="shared" si="68"/>
        <v>12</v>
      </c>
      <c r="N300" s="31">
        <f>M300*Dashboard!$I$3</f>
        <v>20136</v>
      </c>
      <c r="O300" s="18">
        <f>M279*Dashboard!$I$4</f>
        <v>21000</v>
      </c>
      <c r="P300" s="48"/>
      <c r="Q300" s="32">
        <f t="shared" si="57"/>
        <v>30</v>
      </c>
      <c r="R300" s="31">
        <f t="shared" si="58"/>
        <v>50340</v>
      </c>
      <c r="S300" s="31">
        <f t="shared" si="59"/>
        <v>52500</v>
      </c>
      <c r="T300" s="31">
        <f t="shared" si="60"/>
        <v>2160</v>
      </c>
      <c r="U300" s="31">
        <f>U299-R300+S300+V300-Custos!D300+Z299+AF299+AL299-AB299-AH299-AM299</f>
        <v>189873.24388355977</v>
      </c>
      <c r="V300" s="31">
        <f>U299*(((1+Dashboard!$C$17)^(1/30))-1)</f>
        <v>71.155536899383279</v>
      </c>
      <c r="W300" s="29">
        <f t="shared" si="61"/>
        <v>240213.24388355977</v>
      </c>
      <c r="X300" s="45">
        <f>-R300+S300-Custos!D300</f>
        <v>656.59999999999991</v>
      </c>
      <c r="Z300" s="83">
        <v>0</v>
      </c>
      <c r="AA300" s="33">
        <f>AC299*(((1+Dashboard!$C$20)^(1/30))-1)</f>
        <v>314.66190957485003</v>
      </c>
      <c r="AB300" s="84">
        <v>0</v>
      </c>
      <c r="AC300" s="18">
        <f t="shared" si="69"/>
        <v>686844.57478075405</v>
      </c>
      <c r="AD300" s="47">
        <f t="shared" si="62"/>
        <v>0</v>
      </c>
      <c r="AF300" s="83">
        <v>0</v>
      </c>
      <c r="AG300" s="33">
        <f>AI299*(((1+Dashboard!$C$21)^(1/30))-1)</f>
        <v>59.486038946959106</v>
      </c>
      <c r="AH300" s="84">
        <v>0</v>
      </c>
      <c r="AI300" s="29">
        <f t="shared" si="70"/>
        <v>116292.38643507182</v>
      </c>
      <c r="AJ300" s="45">
        <f t="shared" si="63"/>
        <v>0</v>
      </c>
      <c r="AL300" s="83">
        <v>0</v>
      </c>
      <c r="AM300" s="22">
        <v>0</v>
      </c>
      <c r="AN300" s="45">
        <f t="shared" si="64"/>
        <v>0</v>
      </c>
    </row>
    <row r="301" spans="2:40" x14ac:dyDescent="0.25">
      <c r="B301" s="53">
        <f>B300*(((1+Dashboard!$C$20)^(1/30)))</f>
        <v>1145265.6348524275</v>
      </c>
      <c r="C301" s="1">
        <v>297</v>
      </c>
      <c r="D301" s="51">
        <f t="shared" si="65"/>
        <v>46470</v>
      </c>
      <c r="E301" s="7">
        <f t="shared" si="66"/>
        <v>9</v>
      </c>
      <c r="F301" s="31">
        <f>E301*Dashboard!$I$3</f>
        <v>15102</v>
      </c>
      <c r="G301" s="18">
        <f>E284*Dashboard!$I$4</f>
        <v>15750</v>
      </c>
      <c r="H301" s="48"/>
      <c r="I301" s="7">
        <f t="shared" si="67"/>
        <v>9</v>
      </c>
      <c r="J301" s="31">
        <f>I301*Dashboard!$I$3</f>
        <v>15102</v>
      </c>
      <c r="K301" s="29">
        <f>I282*Dashboard!$I$4</f>
        <v>15750</v>
      </c>
      <c r="L301" s="48"/>
      <c r="M301" s="7">
        <f t="shared" si="68"/>
        <v>12</v>
      </c>
      <c r="N301" s="31">
        <f>M301*Dashboard!$I$3</f>
        <v>20136</v>
      </c>
      <c r="O301" s="18">
        <f>M280*Dashboard!$I$4</f>
        <v>21000</v>
      </c>
      <c r="P301" s="48"/>
      <c r="Q301" s="32">
        <f t="shared" si="57"/>
        <v>30</v>
      </c>
      <c r="R301" s="31">
        <f t="shared" si="58"/>
        <v>50340</v>
      </c>
      <c r="S301" s="31">
        <f t="shared" si="59"/>
        <v>52500</v>
      </c>
      <c r="T301" s="31">
        <f t="shared" si="60"/>
        <v>2160</v>
      </c>
      <c r="U301" s="31">
        <f>U300-R301+S301+V301-Custos!D301+Z300+AF300+AL300-AB300-AH300-AM300</f>
        <v>190601.27319826063</v>
      </c>
      <c r="V301" s="31">
        <f>U300*(((1+Dashboard!$C$17)^(1/30))-1)</f>
        <v>71.42931470086414</v>
      </c>
      <c r="W301" s="29">
        <f t="shared" si="61"/>
        <v>240941.27319826063</v>
      </c>
      <c r="X301" s="45">
        <f>-R301+S301-Custos!D301</f>
        <v>656.59999999999991</v>
      </c>
      <c r="Z301" s="83">
        <v>0</v>
      </c>
      <c r="AA301" s="33">
        <f>AC300*(((1+Dashboard!$C$20)^(1/30))-1)</f>
        <v>314.80613070124383</v>
      </c>
      <c r="AB301" s="84">
        <v>0</v>
      </c>
      <c r="AC301" s="18">
        <f t="shared" si="69"/>
        <v>687159.38091145526</v>
      </c>
      <c r="AD301" s="47">
        <f t="shared" si="62"/>
        <v>0</v>
      </c>
      <c r="AF301" s="83">
        <v>0</v>
      </c>
      <c r="AG301" s="33">
        <f>AI300*(((1+Dashboard!$C$21)^(1/30))-1)</f>
        <v>59.51648289886549</v>
      </c>
      <c r="AH301" s="84">
        <v>0</v>
      </c>
      <c r="AI301" s="29">
        <f t="shared" si="70"/>
        <v>116351.90291797068</v>
      </c>
      <c r="AJ301" s="45">
        <f t="shared" si="63"/>
        <v>0</v>
      </c>
      <c r="AL301" s="83">
        <v>0</v>
      </c>
      <c r="AM301" s="22">
        <v>0</v>
      </c>
      <c r="AN301" s="45">
        <f t="shared" si="64"/>
        <v>0</v>
      </c>
    </row>
    <row r="302" spans="2:40" x14ac:dyDescent="0.25">
      <c r="B302" s="53">
        <f>B301*(((1+Dashboard!$C$20)^(1/30)))</f>
        <v>1145790.5522156432</v>
      </c>
      <c r="C302" s="1">
        <v>298</v>
      </c>
      <c r="D302" s="51">
        <f t="shared" si="65"/>
        <v>46471</v>
      </c>
      <c r="E302" s="7">
        <f t="shared" si="66"/>
        <v>9</v>
      </c>
      <c r="F302" s="31">
        <f>E302*Dashboard!$I$3</f>
        <v>15102</v>
      </c>
      <c r="G302" s="18">
        <f>E285*Dashboard!$I$4</f>
        <v>15750</v>
      </c>
      <c r="H302" s="48"/>
      <c r="I302" s="7">
        <f t="shared" si="67"/>
        <v>9</v>
      </c>
      <c r="J302" s="31">
        <f>I302*Dashboard!$I$3</f>
        <v>15102</v>
      </c>
      <c r="K302" s="29">
        <f>I283*Dashboard!$I$4</f>
        <v>15750</v>
      </c>
      <c r="L302" s="48"/>
      <c r="M302" s="7">
        <f t="shared" si="68"/>
        <v>12</v>
      </c>
      <c r="N302" s="31">
        <f>M302*Dashboard!$I$3</f>
        <v>20136</v>
      </c>
      <c r="O302" s="18">
        <f>M281*Dashboard!$I$4</f>
        <v>21000</v>
      </c>
      <c r="P302" s="48"/>
      <c r="Q302" s="32">
        <f t="shared" si="57"/>
        <v>30</v>
      </c>
      <c r="R302" s="31">
        <f t="shared" si="58"/>
        <v>50340</v>
      </c>
      <c r="S302" s="31">
        <f t="shared" si="59"/>
        <v>52500</v>
      </c>
      <c r="T302" s="31">
        <f t="shared" si="60"/>
        <v>2160</v>
      </c>
      <c r="U302" s="31">
        <f>U301-R302+S302+V302-Custos!D302+Z301+AF301+AL301-AB301-AH301-AM301</f>
        <v>191329.57639375675</v>
      </c>
      <c r="V302" s="31">
        <f>U301*(((1+Dashboard!$C$17)^(1/30))-1)</f>
        <v>71.703195496112542</v>
      </c>
      <c r="W302" s="29">
        <f t="shared" si="61"/>
        <v>241669.57639375675</v>
      </c>
      <c r="X302" s="45">
        <f>-R302+S302-Custos!D302</f>
        <v>656.59999999999991</v>
      </c>
      <c r="Z302" s="83">
        <v>0</v>
      </c>
      <c r="AA302" s="33">
        <f>AC301*(((1+Dashboard!$C$20)^(1/30))-1)</f>
        <v>314.95041792948422</v>
      </c>
      <c r="AB302" s="84">
        <v>0</v>
      </c>
      <c r="AC302" s="18">
        <f t="shared" si="69"/>
        <v>687474.3313293847</v>
      </c>
      <c r="AD302" s="47">
        <f t="shared" si="62"/>
        <v>0</v>
      </c>
      <c r="AF302" s="83">
        <v>0</v>
      </c>
      <c r="AG302" s="33">
        <f>AI301*(((1+Dashboard!$C$21)^(1/30))-1)</f>
        <v>59.546942431473227</v>
      </c>
      <c r="AH302" s="84">
        <v>0</v>
      </c>
      <c r="AI302" s="29">
        <f t="shared" si="70"/>
        <v>116411.44986040216</v>
      </c>
      <c r="AJ302" s="45">
        <f t="shared" si="63"/>
        <v>0</v>
      </c>
      <c r="AL302" s="83">
        <v>0</v>
      </c>
      <c r="AM302" s="22">
        <v>0</v>
      </c>
      <c r="AN302" s="45">
        <f t="shared" si="64"/>
        <v>0</v>
      </c>
    </row>
    <row r="303" spans="2:40" x14ac:dyDescent="0.25">
      <c r="B303" s="53">
        <f>B302*(((1+Dashboard!$C$20)^(1/30)))</f>
        <v>1146315.7101677931</v>
      </c>
      <c r="C303" s="1">
        <v>299</v>
      </c>
      <c r="D303" s="51">
        <f t="shared" si="65"/>
        <v>46472</v>
      </c>
      <c r="E303" s="7">
        <f t="shared" si="66"/>
        <v>9</v>
      </c>
      <c r="F303" s="31">
        <f>E303*Dashboard!$I$3</f>
        <v>15102</v>
      </c>
      <c r="G303" s="18">
        <f>E286*Dashboard!$I$4</f>
        <v>15750</v>
      </c>
      <c r="H303" s="48"/>
      <c r="I303" s="7">
        <f t="shared" si="67"/>
        <v>9</v>
      </c>
      <c r="J303" s="31">
        <f>I303*Dashboard!$I$3</f>
        <v>15102</v>
      </c>
      <c r="K303" s="29">
        <f>I284*Dashboard!$I$4</f>
        <v>15750</v>
      </c>
      <c r="L303" s="48"/>
      <c r="M303" s="7">
        <f t="shared" si="68"/>
        <v>12</v>
      </c>
      <c r="N303" s="31">
        <f>M303*Dashboard!$I$3</f>
        <v>20136</v>
      </c>
      <c r="O303" s="18">
        <f>M282*Dashboard!$I$4</f>
        <v>21000</v>
      </c>
      <c r="P303" s="48"/>
      <c r="Q303" s="32">
        <f t="shared" si="57"/>
        <v>30</v>
      </c>
      <c r="R303" s="31">
        <f t="shared" si="58"/>
        <v>50340</v>
      </c>
      <c r="S303" s="31">
        <f t="shared" si="59"/>
        <v>52500</v>
      </c>
      <c r="T303" s="31">
        <f t="shared" si="60"/>
        <v>2160</v>
      </c>
      <c r="U303" s="31">
        <f>U302-R303+S303+V303-Custos!D303+Z302+AF302+AL302-AB302-AH302-AM302</f>
        <v>192058.15357308064</v>
      </c>
      <c r="V303" s="31">
        <f>U302*(((1+Dashboard!$C$17)^(1/30))-1)</f>
        <v>71.977179323874182</v>
      </c>
      <c r="W303" s="29">
        <f t="shared" si="61"/>
        <v>242398.15357308064</v>
      </c>
      <c r="X303" s="45">
        <f>-R303+S303-Custos!D303</f>
        <v>656.59999999999991</v>
      </c>
      <c r="Z303" s="83">
        <v>0</v>
      </c>
      <c r="AA303" s="33">
        <f>AC302*(((1+Dashboard!$C$20)^(1/30))-1)</f>
        <v>315.09477128986822</v>
      </c>
      <c r="AB303" s="84">
        <v>0</v>
      </c>
      <c r="AC303" s="18">
        <f t="shared" si="69"/>
        <v>687789.42610067455</v>
      </c>
      <c r="AD303" s="47">
        <f t="shared" si="62"/>
        <v>0</v>
      </c>
      <c r="AF303" s="83">
        <v>0</v>
      </c>
      <c r="AG303" s="33">
        <f>AI302*(((1+Dashboard!$C$21)^(1/30))-1)</f>
        <v>59.577417552756266</v>
      </c>
      <c r="AH303" s="84">
        <v>0</v>
      </c>
      <c r="AI303" s="29">
        <f t="shared" si="70"/>
        <v>116471.02727795493</v>
      </c>
      <c r="AJ303" s="45">
        <f t="shared" si="63"/>
        <v>0</v>
      </c>
      <c r="AL303" s="83">
        <v>0</v>
      </c>
      <c r="AM303" s="22">
        <v>0</v>
      </c>
      <c r="AN303" s="45">
        <f t="shared" si="64"/>
        <v>0</v>
      </c>
    </row>
    <row r="304" spans="2:40" x14ac:dyDescent="0.25">
      <c r="B304" s="53">
        <f>B303*(((1+Dashboard!$C$20)^(1/30)))</f>
        <v>1146841.1088191476</v>
      </c>
      <c r="C304" s="1">
        <v>300</v>
      </c>
      <c r="D304" s="51">
        <f t="shared" si="65"/>
        <v>46473</v>
      </c>
      <c r="E304" s="7">
        <f t="shared" si="66"/>
        <v>9</v>
      </c>
      <c r="F304" s="31">
        <f>E304*Dashboard!$I$3</f>
        <v>15102</v>
      </c>
      <c r="G304" s="18">
        <f>E287*Dashboard!$I$4</f>
        <v>15750</v>
      </c>
      <c r="H304" s="48"/>
      <c r="I304" s="7">
        <f t="shared" si="67"/>
        <v>9</v>
      </c>
      <c r="J304" s="31">
        <f>I304*Dashboard!$I$3</f>
        <v>15102</v>
      </c>
      <c r="K304" s="29">
        <f>I285*Dashboard!$I$4</f>
        <v>15750</v>
      </c>
      <c r="L304" s="48"/>
      <c r="M304" s="7">
        <f t="shared" si="68"/>
        <v>12</v>
      </c>
      <c r="N304" s="31">
        <f>M304*Dashboard!$I$3</f>
        <v>20136</v>
      </c>
      <c r="O304" s="18">
        <f>M283*Dashboard!$I$4</f>
        <v>21000</v>
      </c>
      <c r="P304" s="48"/>
      <c r="Q304" s="32">
        <f t="shared" si="57"/>
        <v>30</v>
      </c>
      <c r="R304" s="31">
        <f t="shared" si="58"/>
        <v>50340</v>
      </c>
      <c r="S304" s="31">
        <f t="shared" si="59"/>
        <v>52500</v>
      </c>
      <c r="T304" s="31">
        <f t="shared" si="60"/>
        <v>2160</v>
      </c>
      <c r="U304" s="31">
        <f>U303-R304+S304+V304-Custos!D304+Z303+AF303+AL303-AB303-AH303-AM303</f>
        <v>192787.00483930355</v>
      </c>
      <c r="V304" s="31">
        <f>U303*(((1+Dashboard!$C$17)^(1/30))-1)</f>
        <v>72.251266222909351</v>
      </c>
      <c r="W304" s="29">
        <f t="shared" si="61"/>
        <v>243127.00483930355</v>
      </c>
      <c r="X304" s="45">
        <f>-R304+S304-Custos!D304</f>
        <v>656.59999999999991</v>
      </c>
      <c r="Z304" s="83">
        <v>0</v>
      </c>
      <c r="AA304" s="33">
        <f>AC303*(((1+Dashboard!$C$20)^(1/30))-1)</f>
        <v>315.23919081270657</v>
      </c>
      <c r="AB304" s="84">
        <v>0</v>
      </c>
      <c r="AC304" s="18">
        <f t="shared" si="69"/>
        <v>688104.66529148724</v>
      </c>
      <c r="AD304" s="47">
        <f t="shared" si="62"/>
        <v>0</v>
      </c>
      <c r="AF304" s="83">
        <v>0</v>
      </c>
      <c r="AG304" s="33">
        <f>AI303*(((1+Dashboard!$C$21)^(1/30))-1)</f>
        <v>59.607908270692626</v>
      </c>
      <c r="AH304" s="84">
        <v>0</v>
      </c>
      <c r="AI304" s="29">
        <f t="shared" si="70"/>
        <v>116530.63518622561</v>
      </c>
      <c r="AJ304" s="45">
        <f t="shared" si="63"/>
        <v>0</v>
      </c>
      <c r="AL304" s="83">
        <v>0</v>
      </c>
      <c r="AM304" s="22">
        <v>0</v>
      </c>
      <c r="AN304" s="45">
        <f t="shared" si="64"/>
        <v>0</v>
      </c>
    </row>
    <row r="305" spans="2:40" x14ac:dyDescent="0.25">
      <c r="B305" s="53">
        <f>B304*(((1+Dashboard!$C$20)^(1/30)))</f>
        <v>1147366.7482800281</v>
      </c>
      <c r="C305" s="1">
        <v>301</v>
      </c>
      <c r="D305" s="51">
        <f t="shared" si="65"/>
        <v>46474</v>
      </c>
      <c r="E305" s="7">
        <f t="shared" si="66"/>
        <v>9</v>
      </c>
      <c r="F305" s="31">
        <f>E305*Dashboard!$I$3</f>
        <v>15102</v>
      </c>
      <c r="G305" s="18">
        <f>E288*Dashboard!$I$4</f>
        <v>15750</v>
      </c>
      <c r="H305" s="48"/>
      <c r="I305" s="7">
        <f t="shared" si="67"/>
        <v>9</v>
      </c>
      <c r="J305" s="31">
        <f>I305*Dashboard!$I$3</f>
        <v>15102</v>
      </c>
      <c r="K305" s="29">
        <f>I286*Dashboard!$I$4</f>
        <v>15750</v>
      </c>
      <c r="L305" s="48"/>
      <c r="M305" s="7">
        <f t="shared" si="68"/>
        <v>12</v>
      </c>
      <c r="N305" s="31">
        <f>M305*Dashboard!$I$3</f>
        <v>20136</v>
      </c>
      <c r="O305" s="18">
        <f>M284*Dashboard!$I$4</f>
        <v>21000</v>
      </c>
      <c r="P305" s="48"/>
      <c r="Q305" s="32">
        <f t="shared" si="57"/>
        <v>30</v>
      </c>
      <c r="R305" s="31">
        <f t="shared" si="58"/>
        <v>50340</v>
      </c>
      <c r="S305" s="31">
        <f t="shared" si="59"/>
        <v>52500</v>
      </c>
      <c r="T305" s="31">
        <f t="shared" si="60"/>
        <v>2160</v>
      </c>
      <c r="U305" s="31">
        <f>U304-R305+S305+V305-Custos!D305+Z304+AF304+AL304-AB304-AH304-AM304</f>
        <v>193516.13029553555</v>
      </c>
      <c r="V305" s="31">
        <f>U304*(((1+Dashboard!$C$17)^(1/30))-1)</f>
        <v>72.525456231992919</v>
      </c>
      <c r="W305" s="29">
        <f t="shared" si="61"/>
        <v>243856.13029553555</v>
      </c>
      <c r="X305" s="45">
        <f>-R305+S305-Custos!D305</f>
        <v>656.59999999999991</v>
      </c>
      <c r="Z305" s="83">
        <v>0</v>
      </c>
      <c r="AA305" s="33">
        <f>AC304*(((1+Dashboard!$C$20)^(1/30))-1)</f>
        <v>315.38367652832397</v>
      </c>
      <c r="AB305" s="84">
        <v>0</v>
      </c>
      <c r="AC305" s="18">
        <f t="shared" si="69"/>
        <v>688420.04896801559</v>
      </c>
      <c r="AD305" s="47">
        <f t="shared" si="62"/>
        <v>0</v>
      </c>
      <c r="AF305" s="83">
        <v>0</v>
      </c>
      <c r="AG305" s="33">
        <f>AI304*(((1+Dashboard!$C$21)^(1/30))-1)</f>
        <v>59.638414593264393</v>
      </c>
      <c r="AH305" s="84">
        <v>0</v>
      </c>
      <c r="AI305" s="29">
        <f t="shared" si="70"/>
        <v>116590.27360081888</v>
      </c>
      <c r="AJ305" s="45">
        <f t="shared" si="63"/>
        <v>0</v>
      </c>
      <c r="AL305" s="83">
        <v>0</v>
      </c>
      <c r="AM305" s="22">
        <v>0</v>
      </c>
      <c r="AN305" s="45">
        <f t="shared" si="64"/>
        <v>0</v>
      </c>
    </row>
    <row r="306" spans="2:40" x14ac:dyDescent="0.25">
      <c r="B306" s="53">
        <f>B305*(((1+Dashboard!$C$20)^(1/30)))</f>
        <v>1147892.6286608065</v>
      </c>
      <c r="C306" s="1">
        <v>302</v>
      </c>
      <c r="D306" s="51">
        <f t="shared" si="65"/>
        <v>46475</v>
      </c>
      <c r="E306" s="7">
        <f t="shared" si="66"/>
        <v>9</v>
      </c>
      <c r="F306" s="31">
        <f>E306*Dashboard!$I$3</f>
        <v>15102</v>
      </c>
      <c r="G306" s="18">
        <f>E289*Dashboard!$I$4</f>
        <v>15750</v>
      </c>
      <c r="H306" s="48"/>
      <c r="I306" s="7">
        <f t="shared" si="67"/>
        <v>9</v>
      </c>
      <c r="J306" s="31">
        <f>I306*Dashboard!$I$3</f>
        <v>15102</v>
      </c>
      <c r="K306" s="29">
        <f>I287*Dashboard!$I$4</f>
        <v>15750</v>
      </c>
      <c r="L306" s="48"/>
      <c r="M306" s="7">
        <f t="shared" si="68"/>
        <v>12</v>
      </c>
      <c r="N306" s="31">
        <f>M306*Dashboard!$I$3</f>
        <v>20136</v>
      </c>
      <c r="O306" s="18">
        <f>M285*Dashboard!$I$4</f>
        <v>21000</v>
      </c>
      <c r="P306" s="48"/>
      <c r="Q306" s="32">
        <f t="shared" si="57"/>
        <v>30</v>
      </c>
      <c r="R306" s="31">
        <f t="shared" si="58"/>
        <v>50340</v>
      </c>
      <c r="S306" s="31">
        <f t="shared" si="59"/>
        <v>52500</v>
      </c>
      <c r="T306" s="31">
        <f t="shared" si="60"/>
        <v>2160</v>
      </c>
      <c r="U306" s="31">
        <f>U305-R306+S306+V306-Custos!D306+Z305+AF305+AL305-AB305-AH305-AM305</f>
        <v>194245.53004492546</v>
      </c>
      <c r="V306" s="31">
        <f>U305*(((1+Dashboard!$C$17)^(1/30))-1)</f>
        <v>72.799749389914354</v>
      </c>
      <c r="W306" s="29">
        <f t="shared" si="61"/>
        <v>244585.53004492546</v>
      </c>
      <c r="X306" s="45">
        <f>-R306+S306-Custos!D306</f>
        <v>656.59999999999991</v>
      </c>
      <c r="Z306" s="83">
        <v>0</v>
      </c>
      <c r="AA306" s="33">
        <f>AC305*(((1+Dashboard!$C$20)^(1/30))-1)</f>
        <v>315.52822846705902</v>
      </c>
      <c r="AB306" s="84">
        <v>0</v>
      </c>
      <c r="AC306" s="18">
        <f t="shared" si="69"/>
        <v>688735.57719648269</v>
      </c>
      <c r="AD306" s="47">
        <f t="shared" si="62"/>
        <v>0</v>
      </c>
      <c r="AF306" s="83">
        <v>0</v>
      </c>
      <c r="AG306" s="33">
        <f>AI305*(((1+Dashboard!$C$21)^(1/30))-1)</f>
        <v>59.668936528457785</v>
      </c>
      <c r="AH306" s="84">
        <v>0</v>
      </c>
      <c r="AI306" s="29">
        <f t="shared" si="70"/>
        <v>116649.94253734734</v>
      </c>
      <c r="AJ306" s="45">
        <f t="shared" si="63"/>
        <v>0</v>
      </c>
      <c r="AL306" s="83">
        <v>0</v>
      </c>
      <c r="AM306" s="22">
        <v>0</v>
      </c>
      <c r="AN306" s="45">
        <f t="shared" si="64"/>
        <v>0</v>
      </c>
    </row>
    <row r="307" spans="2:40" x14ac:dyDescent="0.25">
      <c r="B307" s="53">
        <f>B306*(((1+Dashboard!$C$20)^(1/30)))</f>
        <v>1148418.7500719053</v>
      </c>
      <c r="C307" s="1">
        <v>303</v>
      </c>
      <c r="D307" s="51">
        <f t="shared" si="65"/>
        <v>46476</v>
      </c>
      <c r="E307" s="7">
        <f t="shared" si="66"/>
        <v>9</v>
      </c>
      <c r="F307" s="31">
        <f>E307*Dashboard!$I$3</f>
        <v>15102</v>
      </c>
      <c r="G307" s="18">
        <f>E290*Dashboard!$I$4</f>
        <v>15750</v>
      </c>
      <c r="H307" s="48"/>
      <c r="I307" s="7">
        <f t="shared" si="67"/>
        <v>9</v>
      </c>
      <c r="J307" s="31">
        <f>I307*Dashboard!$I$3</f>
        <v>15102</v>
      </c>
      <c r="K307" s="29">
        <f>I288*Dashboard!$I$4</f>
        <v>15750</v>
      </c>
      <c r="L307" s="48"/>
      <c r="M307" s="7">
        <f t="shared" si="68"/>
        <v>12</v>
      </c>
      <c r="N307" s="31">
        <f>M307*Dashboard!$I$3</f>
        <v>20136</v>
      </c>
      <c r="O307" s="18">
        <f>M286*Dashboard!$I$4</f>
        <v>21000</v>
      </c>
      <c r="P307" s="48"/>
      <c r="Q307" s="32">
        <f t="shared" si="57"/>
        <v>30</v>
      </c>
      <c r="R307" s="31">
        <f t="shared" si="58"/>
        <v>50340</v>
      </c>
      <c r="S307" s="31">
        <f t="shared" si="59"/>
        <v>52500</v>
      </c>
      <c r="T307" s="31">
        <f t="shared" si="60"/>
        <v>2160</v>
      </c>
      <c r="U307" s="31">
        <f>U306-R307+S307+V307-Custos!D307+Z306+AF306+AL306-AB306-AH306-AM306</f>
        <v>194975.20419066094</v>
      </c>
      <c r="V307" s="31">
        <f>U306*(((1+Dashboard!$C$17)^(1/30))-1)</f>
        <v>73.074145735477671</v>
      </c>
      <c r="W307" s="29">
        <f t="shared" si="61"/>
        <v>245315.20419066094</v>
      </c>
      <c r="X307" s="45">
        <f>-R307+S307-Custos!D307</f>
        <v>656.59999999999991</v>
      </c>
      <c r="Z307" s="83">
        <v>0</v>
      </c>
      <c r="AA307" s="33">
        <f>AC306*(((1+Dashboard!$C$20)^(1/30))-1)</f>
        <v>315.67284665926422</v>
      </c>
      <c r="AB307" s="84">
        <v>0</v>
      </c>
      <c r="AC307" s="18">
        <f t="shared" si="69"/>
        <v>689051.250043142</v>
      </c>
      <c r="AD307" s="47">
        <f t="shared" si="62"/>
        <v>0</v>
      </c>
      <c r="AF307" s="83">
        <v>0</v>
      </c>
      <c r="AG307" s="33">
        <f>AI306*(((1+Dashboard!$C$21)^(1/30))-1)</f>
        <v>59.699474084263052</v>
      </c>
      <c r="AH307" s="84">
        <v>0</v>
      </c>
      <c r="AI307" s="29">
        <f t="shared" si="70"/>
        <v>116709.6420114316</v>
      </c>
      <c r="AJ307" s="45">
        <f t="shared" si="63"/>
        <v>0</v>
      </c>
      <c r="AL307" s="83">
        <v>0</v>
      </c>
      <c r="AM307" s="22">
        <v>0</v>
      </c>
      <c r="AN307" s="45">
        <f t="shared" si="64"/>
        <v>0</v>
      </c>
    </row>
    <row r="308" spans="2:40" x14ac:dyDescent="0.25">
      <c r="B308" s="53">
        <f>B307*(((1+Dashboard!$C$20)^(1/30)))</f>
        <v>1148945.1126237975</v>
      </c>
      <c r="C308" s="1">
        <v>304</v>
      </c>
      <c r="D308" s="51">
        <f t="shared" si="65"/>
        <v>46477</v>
      </c>
      <c r="E308" s="7">
        <f t="shared" si="66"/>
        <v>9</v>
      </c>
      <c r="F308" s="31">
        <f>E308*Dashboard!$I$3</f>
        <v>15102</v>
      </c>
      <c r="G308" s="18">
        <f>E291*Dashboard!$I$4</f>
        <v>15750</v>
      </c>
      <c r="H308" s="48"/>
      <c r="I308" s="7">
        <f t="shared" si="67"/>
        <v>9</v>
      </c>
      <c r="J308" s="31">
        <f>I308*Dashboard!$I$3</f>
        <v>15102</v>
      </c>
      <c r="K308" s="29">
        <f>I289*Dashboard!$I$4</f>
        <v>15750</v>
      </c>
      <c r="L308" s="48"/>
      <c r="M308" s="7">
        <f t="shared" si="68"/>
        <v>12</v>
      </c>
      <c r="N308" s="31">
        <f>M308*Dashboard!$I$3</f>
        <v>20136</v>
      </c>
      <c r="O308" s="18">
        <f>M287*Dashboard!$I$4</f>
        <v>21000</v>
      </c>
      <c r="P308" s="48"/>
      <c r="Q308" s="32">
        <f t="shared" si="57"/>
        <v>30</v>
      </c>
      <c r="R308" s="31">
        <f t="shared" si="58"/>
        <v>50340</v>
      </c>
      <c r="S308" s="31">
        <f t="shared" si="59"/>
        <v>52500</v>
      </c>
      <c r="T308" s="31">
        <f t="shared" si="60"/>
        <v>2160</v>
      </c>
      <c r="U308" s="31">
        <f>U307-R308+S308+V308-Custos!D308+Z307+AF307+AL307-AB307-AH307-AM307</f>
        <v>195705.15283596845</v>
      </c>
      <c r="V308" s="31">
        <f>U307*(((1+Dashboard!$C$17)^(1/30))-1)</f>
        <v>73.348645307501556</v>
      </c>
      <c r="W308" s="29">
        <f t="shared" si="61"/>
        <v>246045.15283596845</v>
      </c>
      <c r="X308" s="45">
        <f>-R308+S308-Custos!D308</f>
        <v>656.59999999999991</v>
      </c>
      <c r="Z308" s="83">
        <v>0</v>
      </c>
      <c r="AA308" s="33">
        <f>AC307*(((1+Dashboard!$C$20)^(1/30))-1)</f>
        <v>315.81753113530601</v>
      </c>
      <c r="AB308" s="84">
        <v>0</v>
      </c>
      <c r="AC308" s="18">
        <f t="shared" si="69"/>
        <v>689367.06757427729</v>
      </c>
      <c r="AD308" s="47">
        <f t="shared" si="62"/>
        <v>0</v>
      </c>
      <c r="AF308" s="83">
        <v>0</v>
      </c>
      <c r="AG308" s="33">
        <f>AI307*(((1+Dashboard!$C$21)^(1/30))-1)</f>
        <v>59.730027268674583</v>
      </c>
      <c r="AH308" s="84">
        <v>0</v>
      </c>
      <c r="AI308" s="29">
        <f t="shared" si="70"/>
        <v>116769.37203870027</v>
      </c>
      <c r="AJ308" s="45">
        <f t="shared" si="63"/>
        <v>0</v>
      </c>
      <c r="AL308" s="83">
        <v>0</v>
      </c>
      <c r="AM308" s="22">
        <v>0</v>
      </c>
      <c r="AN308" s="45">
        <f t="shared" si="64"/>
        <v>0</v>
      </c>
    </row>
    <row r="309" spans="2:40" x14ac:dyDescent="0.25">
      <c r="B309" s="53">
        <f>B308*(((1+Dashboard!$C$20)^(1/30)))</f>
        <v>1149471.7164270068</v>
      </c>
      <c r="C309" s="1">
        <v>305</v>
      </c>
      <c r="D309" s="51">
        <f t="shared" si="65"/>
        <v>46478</v>
      </c>
      <c r="E309" s="7">
        <f t="shared" si="66"/>
        <v>9</v>
      </c>
      <c r="F309" s="31">
        <f>E309*Dashboard!$I$3</f>
        <v>15102</v>
      </c>
      <c r="G309" s="18">
        <f>E292*Dashboard!$I$4</f>
        <v>15750</v>
      </c>
      <c r="H309" s="48"/>
      <c r="I309" s="7">
        <f t="shared" si="67"/>
        <v>9</v>
      </c>
      <c r="J309" s="31">
        <f>I309*Dashboard!$I$3</f>
        <v>15102</v>
      </c>
      <c r="K309" s="29">
        <f>I290*Dashboard!$I$4</f>
        <v>15750</v>
      </c>
      <c r="L309" s="48"/>
      <c r="M309" s="7">
        <f t="shared" si="68"/>
        <v>12</v>
      </c>
      <c r="N309" s="31">
        <f>M309*Dashboard!$I$3</f>
        <v>20136</v>
      </c>
      <c r="O309" s="18">
        <f>M288*Dashboard!$I$4</f>
        <v>21000</v>
      </c>
      <c r="P309" s="48"/>
      <c r="Q309" s="32">
        <f t="shared" si="57"/>
        <v>30</v>
      </c>
      <c r="R309" s="31">
        <f t="shared" si="58"/>
        <v>50340</v>
      </c>
      <c r="S309" s="31">
        <f t="shared" si="59"/>
        <v>52500</v>
      </c>
      <c r="T309" s="31">
        <f t="shared" si="60"/>
        <v>2160</v>
      </c>
      <c r="U309" s="31">
        <f>U308-R309+S309+V309-Custos!D309+Z308+AF308+AL308-AB308-AH308-AM308</f>
        <v>196435.37608411326</v>
      </c>
      <c r="V309" s="31">
        <f>U308*(((1+Dashboard!$C$17)^(1/30))-1)</f>
        <v>73.623248144819257</v>
      </c>
      <c r="W309" s="29">
        <f t="shared" si="61"/>
        <v>246775.37608411326</v>
      </c>
      <c r="X309" s="45">
        <f>-R309+S309-Custos!D309</f>
        <v>656.59999999999991</v>
      </c>
      <c r="Z309" s="83">
        <v>0</v>
      </c>
      <c r="AA309" s="33">
        <f>AC308*(((1+Dashboard!$C$20)^(1/30))-1)</f>
        <v>315.96228192556453</v>
      </c>
      <c r="AB309" s="84">
        <v>0</v>
      </c>
      <c r="AC309" s="18">
        <f t="shared" si="69"/>
        <v>689683.02985620289</v>
      </c>
      <c r="AD309" s="47">
        <f t="shared" si="62"/>
        <v>0</v>
      </c>
      <c r="AF309" s="83">
        <v>0</v>
      </c>
      <c r="AG309" s="33">
        <f>AI308*(((1+Dashboard!$C$21)^(1/30))-1)</f>
        <v>59.760596089690814</v>
      </c>
      <c r="AH309" s="84">
        <v>0</v>
      </c>
      <c r="AI309" s="29">
        <f t="shared" si="70"/>
        <v>116829.13263478996</v>
      </c>
      <c r="AJ309" s="45">
        <f t="shared" si="63"/>
        <v>0</v>
      </c>
      <c r="AL309" s="83">
        <v>0</v>
      </c>
      <c r="AM309" s="22">
        <v>0</v>
      </c>
      <c r="AN309" s="45">
        <f t="shared" si="64"/>
        <v>0</v>
      </c>
    </row>
    <row r="310" spans="2:40" x14ac:dyDescent="0.25">
      <c r="B310" s="53">
        <f>B309*(((1+Dashboard!$C$20)^(1/30)))</f>
        <v>1149998.5615921074</v>
      </c>
      <c r="C310" s="1">
        <v>306</v>
      </c>
      <c r="D310" s="51">
        <f t="shared" si="65"/>
        <v>46479</v>
      </c>
      <c r="E310" s="7">
        <f t="shared" si="66"/>
        <v>9</v>
      </c>
      <c r="F310" s="31">
        <f>E310*Dashboard!$I$3</f>
        <v>15102</v>
      </c>
      <c r="G310" s="18">
        <f>E293*Dashboard!$I$4</f>
        <v>15750</v>
      </c>
      <c r="H310" s="48"/>
      <c r="I310" s="7">
        <f t="shared" si="67"/>
        <v>9</v>
      </c>
      <c r="J310" s="31">
        <f>I310*Dashboard!$I$3</f>
        <v>15102</v>
      </c>
      <c r="K310" s="29">
        <f>I291*Dashboard!$I$4</f>
        <v>15750</v>
      </c>
      <c r="L310" s="48"/>
      <c r="M310" s="7">
        <f t="shared" si="68"/>
        <v>12</v>
      </c>
      <c r="N310" s="31">
        <f>M310*Dashboard!$I$3</f>
        <v>20136</v>
      </c>
      <c r="O310" s="18">
        <f>M289*Dashboard!$I$4</f>
        <v>21000</v>
      </c>
      <c r="P310" s="48"/>
      <c r="Q310" s="32">
        <f t="shared" si="57"/>
        <v>30</v>
      </c>
      <c r="R310" s="31">
        <f t="shared" si="58"/>
        <v>50340</v>
      </c>
      <c r="S310" s="31">
        <f t="shared" si="59"/>
        <v>52500</v>
      </c>
      <c r="T310" s="31">
        <f t="shared" si="60"/>
        <v>2160</v>
      </c>
      <c r="U310" s="31">
        <f>U309-R310+S310+V310-Custos!D310+Z309+AF309+AL309-AB309-AH309-AM309</f>
        <v>197165.87403839955</v>
      </c>
      <c r="V310" s="31">
        <f>U309*(((1+Dashboard!$C$17)^(1/30))-1)</f>
        <v>73.897954286278605</v>
      </c>
      <c r="W310" s="29">
        <f t="shared" si="61"/>
        <v>247505.87403839955</v>
      </c>
      <c r="X310" s="45">
        <f>-R310+S310-Custos!D310</f>
        <v>656.59999999999991</v>
      </c>
      <c r="Z310" s="83">
        <v>0</v>
      </c>
      <c r="AA310" s="33">
        <f>AC309*(((1+Dashboard!$C$20)^(1/30))-1)</f>
        <v>316.10709906043422</v>
      </c>
      <c r="AB310" s="84">
        <v>0</v>
      </c>
      <c r="AC310" s="18">
        <f t="shared" si="69"/>
        <v>689999.13695526333</v>
      </c>
      <c r="AD310" s="47">
        <f t="shared" si="62"/>
        <v>0</v>
      </c>
      <c r="AF310" s="83">
        <v>0</v>
      </c>
      <c r="AG310" s="33">
        <f>AI309*(((1+Dashboard!$C$21)^(1/30))-1)</f>
        <v>59.79118055531432</v>
      </c>
      <c r="AH310" s="84">
        <v>0</v>
      </c>
      <c r="AI310" s="29">
        <f t="shared" si="70"/>
        <v>116888.92381534528</v>
      </c>
      <c r="AJ310" s="45">
        <f t="shared" si="63"/>
        <v>0</v>
      </c>
      <c r="AL310" s="83">
        <v>0</v>
      </c>
      <c r="AM310" s="22">
        <v>0</v>
      </c>
      <c r="AN310" s="45">
        <f t="shared" si="64"/>
        <v>0</v>
      </c>
    </row>
    <row r="311" spans="2:40" x14ac:dyDescent="0.25">
      <c r="B311" s="53">
        <f>B310*(((1+Dashboard!$C$20)^(1/30)))</f>
        <v>1150525.6482297247</v>
      </c>
      <c r="C311" s="1">
        <v>307</v>
      </c>
      <c r="D311" s="51">
        <f t="shared" si="65"/>
        <v>46480</v>
      </c>
      <c r="E311" s="7">
        <f t="shared" si="66"/>
        <v>9</v>
      </c>
      <c r="F311" s="31">
        <f>E311*Dashboard!$I$3</f>
        <v>15102</v>
      </c>
      <c r="G311" s="18">
        <f>E294*Dashboard!$I$4</f>
        <v>15750</v>
      </c>
      <c r="H311" s="48"/>
      <c r="I311" s="7">
        <f t="shared" si="67"/>
        <v>9</v>
      </c>
      <c r="J311" s="31">
        <f>I311*Dashboard!$I$3</f>
        <v>15102</v>
      </c>
      <c r="K311" s="29">
        <f>I292*Dashboard!$I$4</f>
        <v>15750</v>
      </c>
      <c r="L311" s="48"/>
      <c r="M311" s="7">
        <f t="shared" si="68"/>
        <v>12</v>
      </c>
      <c r="N311" s="31">
        <f>M311*Dashboard!$I$3</f>
        <v>20136</v>
      </c>
      <c r="O311" s="18">
        <f>M290*Dashboard!$I$4</f>
        <v>21000</v>
      </c>
      <c r="P311" s="48"/>
      <c r="Q311" s="32">
        <f t="shared" si="57"/>
        <v>30</v>
      </c>
      <c r="R311" s="31">
        <f t="shared" si="58"/>
        <v>50340</v>
      </c>
      <c r="S311" s="31">
        <f t="shared" si="59"/>
        <v>52500</v>
      </c>
      <c r="T311" s="31">
        <f t="shared" si="60"/>
        <v>2160</v>
      </c>
      <c r="U311" s="31">
        <f>U310-R311+S311+V311-Custos!D311+Z310+AF310+AL310-AB310-AH310-AM310</f>
        <v>197896.64680217029</v>
      </c>
      <c r="V311" s="31">
        <f>U310*(((1+Dashboard!$C$17)^(1/30))-1)</f>
        <v>74.172763770742094</v>
      </c>
      <c r="W311" s="29">
        <f t="shared" si="61"/>
        <v>248236.64680217029</v>
      </c>
      <c r="X311" s="45">
        <f>-R311+S311-Custos!D311</f>
        <v>656.59999999999991</v>
      </c>
      <c r="Z311" s="83">
        <v>0</v>
      </c>
      <c r="AA311" s="33">
        <f>AC310*(((1+Dashboard!$C$20)^(1/30))-1)</f>
        <v>316.25198257032315</v>
      </c>
      <c r="AB311" s="84">
        <v>0</v>
      </c>
      <c r="AC311" s="18">
        <f t="shared" si="69"/>
        <v>690315.3889378336</v>
      </c>
      <c r="AD311" s="47">
        <f t="shared" si="62"/>
        <v>0</v>
      </c>
      <c r="AF311" s="83">
        <v>0</v>
      </c>
      <c r="AG311" s="33">
        <f>AI310*(((1+Dashboard!$C$21)^(1/30))-1)</f>
        <v>59.821780673551721</v>
      </c>
      <c r="AH311" s="84">
        <v>0</v>
      </c>
      <c r="AI311" s="29">
        <f t="shared" si="70"/>
        <v>116948.74559601882</v>
      </c>
      <c r="AJ311" s="45">
        <f t="shared" si="63"/>
        <v>0</v>
      </c>
      <c r="AL311" s="83">
        <v>0</v>
      </c>
      <c r="AM311" s="22">
        <v>0</v>
      </c>
      <c r="AN311" s="45">
        <f t="shared" si="64"/>
        <v>0</v>
      </c>
    </row>
    <row r="312" spans="2:40" x14ac:dyDescent="0.25">
      <c r="B312" s="53">
        <f>B311*(((1+Dashboard!$C$20)^(1/30)))</f>
        <v>1151052.9764505341</v>
      </c>
      <c r="C312" s="1">
        <v>308</v>
      </c>
      <c r="D312" s="51">
        <f t="shared" si="65"/>
        <v>46481</v>
      </c>
      <c r="E312" s="7">
        <f t="shared" si="66"/>
        <v>9</v>
      </c>
      <c r="F312" s="31">
        <f>E312*Dashboard!$I$3</f>
        <v>15102</v>
      </c>
      <c r="G312" s="18">
        <f>E295*Dashboard!$I$4</f>
        <v>15750</v>
      </c>
      <c r="H312" s="48"/>
      <c r="I312" s="7">
        <f t="shared" si="67"/>
        <v>9</v>
      </c>
      <c r="J312" s="31">
        <f>I312*Dashboard!$I$3</f>
        <v>15102</v>
      </c>
      <c r="K312" s="29">
        <f>I293*Dashboard!$I$4</f>
        <v>15750</v>
      </c>
      <c r="L312" s="48"/>
      <c r="M312" s="7">
        <f t="shared" si="68"/>
        <v>12</v>
      </c>
      <c r="N312" s="31">
        <f>M312*Dashboard!$I$3</f>
        <v>20136</v>
      </c>
      <c r="O312" s="18">
        <f>M291*Dashboard!$I$4</f>
        <v>21000</v>
      </c>
      <c r="P312" s="48"/>
      <c r="Q312" s="32">
        <f t="shared" si="57"/>
        <v>30</v>
      </c>
      <c r="R312" s="31">
        <f t="shared" si="58"/>
        <v>50340</v>
      </c>
      <c r="S312" s="31">
        <f t="shared" si="59"/>
        <v>52500</v>
      </c>
      <c r="T312" s="31">
        <f t="shared" si="60"/>
        <v>2160</v>
      </c>
      <c r="U312" s="31">
        <f>U311-R312+S312+V312-Custos!D312+Z311+AF311+AL311-AB311-AH311-AM311</f>
        <v>198627.69447880739</v>
      </c>
      <c r="V312" s="31">
        <f>U311*(((1+Dashboard!$C$17)^(1/30))-1)</f>
        <v>74.447676637086829</v>
      </c>
      <c r="W312" s="29">
        <f t="shared" si="61"/>
        <v>248967.69447880739</v>
      </c>
      <c r="X312" s="45">
        <f>-R312+S312-Custos!D312</f>
        <v>656.59999999999991</v>
      </c>
      <c r="Z312" s="83">
        <v>0</v>
      </c>
      <c r="AA312" s="33">
        <f>AC311*(((1+Dashboard!$C$20)^(1/30))-1)</f>
        <v>316.39693248565345</v>
      </c>
      <c r="AB312" s="84">
        <v>0</v>
      </c>
      <c r="AC312" s="18">
        <f t="shared" si="69"/>
        <v>690631.78587031923</v>
      </c>
      <c r="AD312" s="47">
        <f t="shared" si="62"/>
        <v>0</v>
      </c>
      <c r="AF312" s="83">
        <v>0</v>
      </c>
      <c r="AG312" s="33">
        <f>AI311*(((1+Dashboard!$C$21)^(1/30))-1)</f>
        <v>59.852396452413778</v>
      </c>
      <c r="AH312" s="84">
        <v>0</v>
      </c>
      <c r="AI312" s="29">
        <f t="shared" si="70"/>
        <v>117008.59799247123</v>
      </c>
      <c r="AJ312" s="45">
        <f t="shared" si="63"/>
        <v>0</v>
      </c>
      <c r="AL312" s="83">
        <v>0</v>
      </c>
      <c r="AM312" s="22">
        <v>0</v>
      </c>
      <c r="AN312" s="45">
        <f t="shared" si="64"/>
        <v>0</v>
      </c>
    </row>
    <row r="313" spans="2:40" x14ac:dyDescent="0.25">
      <c r="B313" s="53">
        <f>B312*(((1+Dashboard!$C$20)^(1/30)))</f>
        <v>1151580.5463652622</v>
      </c>
      <c r="C313" s="1">
        <v>309</v>
      </c>
      <c r="D313" s="51">
        <f t="shared" si="65"/>
        <v>46482</v>
      </c>
      <c r="E313" s="7">
        <f t="shared" si="66"/>
        <v>9</v>
      </c>
      <c r="F313" s="31">
        <f>E313*Dashboard!$I$3</f>
        <v>15102</v>
      </c>
      <c r="G313" s="18">
        <f>E296*Dashboard!$I$4</f>
        <v>15750</v>
      </c>
      <c r="H313" s="48"/>
      <c r="I313" s="7">
        <f t="shared" si="67"/>
        <v>9</v>
      </c>
      <c r="J313" s="31">
        <f>I313*Dashboard!$I$3</f>
        <v>15102</v>
      </c>
      <c r="K313" s="29">
        <f>I294*Dashboard!$I$4</f>
        <v>15750</v>
      </c>
      <c r="L313" s="48"/>
      <c r="M313" s="7">
        <f t="shared" si="68"/>
        <v>12</v>
      </c>
      <c r="N313" s="31">
        <f>M313*Dashboard!$I$3</f>
        <v>20136</v>
      </c>
      <c r="O313" s="18">
        <f>M292*Dashboard!$I$4</f>
        <v>21000</v>
      </c>
      <c r="P313" s="48"/>
      <c r="Q313" s="32">
        <f t="shared" si="57"/>
        <v>30</v>
      </c>
      <c r="R313" s="31">
        <f t="shared" si="58"/>
        <v>50340</v>
      </c>
      <c r="S313" s="31">
        <f t="shared" si="59"/>
        <v>52500</v>
      </c>
      <c r="T313" s="31">
        <f t="shared" si="60"/>
        <v>2160</v>
      </c>
      <c r="U313" s="31">
        <f>U312-R313+S313+V313-Custos!D313+Z312+AF312+AL312-AB312-AH312-AM312</f>
        <v>199359.0171717316</v>
      </c>
      <c r="V313" s="31">
        <f>U312*(((1+Dashboard!$C$17)^(1/30))-1)</f>
        <v>74.722692924204509</v>
      </c>
      <c r="W313" s="29">
        <f t="shared" si="61"/>
        <v>249699.0171717316</v>
      </c>
      <c r="X313" s="45">
        <f>-R313+S313-Custos!D313</f>
        <v>656.59999999999991</v>
      </c>
      <c r="Z313" s="83">
        <v>0</v>
      </c>
      <c r="AA313" s="33">
        <f>AC312*(((1+Dashboard!$C$20)^(1/30))-1)</f>
        <v>316.5419488368612</v>
      </c>
      <c r="AB313" s="84">
        <v>0</v>
      </c>
      <c r="AC313" s="18">
        <f t="shared" si="69"/>
        <v>690948.32781915611</v>
      </c>
      <c r="AD313" s="47">
        <f t="shared" si="62"/>
        <v>0</v>
      </c>
      <c r="AF313" s="83">
        <v>0</v>
      </c>
      <c r="AG313" s="33">
        <f>AI312*(((1+Dashboard!$C$21)^(1/30))-1)</f>
        <v>59.883027899915326</v>
      </c>
      <c r="AH313" s="84">
        <v>0</v>
      </c>
      <c r="AI313" s="29">
        <f t="shared" si="70"/>
        <v>117068.48102037114</v>
      </c>
      <c r="AJ313" s="45">
        <f t="shared" si="63"/>
        <v>0</v>
      </c>
      <c r="AL313" s="83">
        <v>0</v>
      </c>
      <c r="AM313" s="22">
        <v>0</v>
      </c>
      <c r="AN313" s="45">
        <f t="shared" si="64"/>
        <v>0</v>
      </c>
    </row>
    <row r="314" spans="2:40" x14ac:dyDescent="0.25">
      <c r="B314" s="53">
        <f>B313*(((1+Dashboard!$C$20)^(1/30)))</f>
        <v>1152108.3580846863</v>
      </c>
      <c r="C314" s="1">
        <v>310</v>
      </c>
      <c r="D314" s="51">
        <f t="shared" si="65"/>
        <v>46483</v>
      </c>
      <c r="E314" s="7">
        <f t="shared" si="66"/>
        <v>9</v>
      </c>
      <c r="F314" s="31">
        <f>E314*Dashboard!$I$3</f>
        <v>15102</v>
      </c>
      <c r="G314" s="18">
        <f>E297*Dashboard!$I$4</f>
        <v>15750</v>
      </c>
      <c r="H314" s="48"/>
      <c r="I314" s="7">
        <f t="shared" si="67"/>
        <v>9</v>
      </c>
      <c r="J314" s="31">
        <f>I314*Dashboard!$I$3</f>
        <v>15102</v>
      </c>
      <c r="K314" s="29">
        <f>I295*Dashboard!$I$4</f>
        <v>15750</v>
      </c>
      <c r="L314" s="48"/>
      <c r="M314" s="7">
        <f t="shared" si="68"/>
        <v>12</v>
      </c>
      <c r="N314" s="31">
        <f>M314*Dashboard!$I$3</f>
        <v>20136</v>
      </c>
      <c r="O314" s="18">
        <f>M293*Dashboard!$I$4</f>
        <v>21000</v>
      </c>
      <c r="P314" s="48"/>
      <c r="Q314" s="32">
        <f t="shared" si="57"/>
        <v>30</v>
      </c>
      <c r="R314" s="31">
        <f t="shared" si="58"/>
        <v>50340</v>
      </c>
      <c r="S314" s="31">
        <f t="shared" si="59"/>
        <v>52500</v>
      </c>
      <c r="T314" s="31">
        <f t="shared" si="60"/>
        <v>2160</v>
      </c>
      <c r="U314" s="31">
        <f>U313-R314+S314+V314-Custos!D314+Z313+AF313+AL313-AB313-AH313-AM313</f>
        <v>200090.61498440261</v>
      </c>
      <c r="V314" s="31">
        <f>U313*(((1+Dashboard!$C$17)^(1/30))-1)</f>
        <v>74.997812671001498</v>
      </c>
      <c r="W314" s="29">
        <f t="shared" si="61"/>
        <v>250430.61498440261</v>
      </c>
      <c r="X314" s="45">
        <f>-R314+S314-Custos!D314</f>
        <v>656.59999999999991</v>
      </c>
      <c r="Z314" s="83">
        <v>0</v>
      </c>
      <c r="AA314" s="33">
        <f>AC313*(((1+Dashboard!$C$20)^(1/30))-1)</f>
        <v>316.68703165439643</v>
      </c>
      <c r="AB314" s="84">
        <v>0</v>
      </c>
      <c r="AC314" s="18">
        <f t="shared" si="69"/>
        <v>691265.01485081052</v>
      </c>
      <c r="AD314" s="47">
        <f t="shared" si="62"/>
        <v>0</v>
      </c>
      <c r="AF314" s="83">
        <v>0</v>
      </c>
      <c r="AG314" s="33">
        <f>AI313*(((1+Dashboard!$C$21)^(1/30))-1)</f>
        <v>59.913675024075317</v>
      </c>
      <c r="AH314" s="84">
        <v>0</v>
      </c>
      <c r="AI314" s="29">
        <f t="shared" si="70"/>
        <v>117128.39469539521</v>
      </c>
      <c r="AJ314" s="45">
        <f t="shared" si="63"/>
        <v>0</v>
      </c>
      <c r="AL314" s="83">
        <v>0</v>
      </c>
      <c r="AM314" s="22">
        <v>0</v>
      </c>
      <c r="AN314" s="45">
        <f t="shared" si="64"/>
        <v>0</v>
      </c>
    </row>
    <row r="315" spans="2:40" x14ac:dyDescent="0.25">
      <c r="B315" s="53">
        <f>B314*(((1+Dashboard!$C$20)^(1/30)))</f>
        <v>1152636.4117196342</v>
      </c>
      <c r="C315" s="1">
        <v>311</v>
      </c>
      <c r="D315" s="51">
        <f t="shared" si="65"/>
        <v>46484</v>
      </c>
      <c r="E315" s="7">
        <f t="shared" si="66"/>
        <v>9</v>
      </c>
      <c r="F315" s="31">
        <f>E315*Dashboard!$I$3</f>
        <v>15102</v>
      </c>
      <c r="G315" s="18">
        <f>E298*Dashboard!$I$4</f>
        <v>15750</v>
      </c>
      <c r="H315" s="48"/>
      <c r="I315" s="7">
        <f t="shared" si="67"/>
        <v>9</v>
      </c>
      <c r="J315" s="31">
        <f>I315*Dashboard!$I$3</f>
        <v>15102</v>
      </c>
      <c r="K315" s="29">
        <f>I296*Dashboard!$I$4</f>
        <v>15750</v>
      </c>
      <c r="L315" s="48"/>
      <c r="M315" s="7">
        <f t="shared" si="68"/>
        <v>12</v>
      </c>
      <c r="N315" s="31">
        <f>M315*Dashboard!$I$3</f>
        <v>20136</v>
      </c>
      <c r="O315" s="18">
        <f>M294*Dashboard!$I$4</f>
        <v>21000</v>
      </c>
      <c r="P315" s="48"/>
      <c r="Q315" s="32">
        <f t="shared" si="57"/>
        <v>30</v>
      </c>
      <c r="R315" s="31">
        <f t="shared" si="58"/>
        <v>50340</v>
      </c>
      <c r="S315" s="31">
        <f t="shared" si="59"/>
        <v>52500</v>
      </c>
      <c r="T315" s="31">
        <f t="shared" si="60"/>
        <v>2160</v>
      </c>
      <c r="U315" s="31">
        <f>U314-R315+S315+V315-Custos!D315+Z314+AF314+AL314-AB314-AH314-AM314</f>
        <v>200822.48802031903</v>
      </c>
      <c r="V315" s="31">
        <f>U314*(((1+Dashboard!$C$17)^(1/30))-1)</f>
        <v>75.273035916398769</v>
      </c>
      <c r="W315" s="29">
        <f t="shared" si="61"/>
        <v>251162.48802031903</v>
      </c>
      <c r="X315" s="45">
        <f>-R315+S315-Custos!D315</f>
        <v>656.59999999999991</v>
      </c>
      <c r="Z315" s="83">
        <v>0</v>
      </c>
      <c r="AA315" s="33">
        <f>AC314*(((1+Dashboard!$C$20)^(1/30))-1)</f>
        <v>316.83218096872304</v>
      </c>
      <c r="AB315" s="84">
        <v>0</v>
      </c>
      <c r="AC315" s="18">
        <f t="shared" si="69"/>
        <v>691581.84703177924</v>
      </c>
      <c r="AD315" s="47">
        <f t="shared" si="62"/>
        <v>0</v>
      </c>
      <c r="AF315" s="83">
        <v>0</v>
      </c>
      <c r="AG315" s="33">
        <f>AI314*(((1+Dashboard!$C$21)^(1/30))-1)</f>
        <v>59.944337832916801</v>
      </c>
      <c r="AH315" s="84">
        <v>0</v>
      </c>
      <c r="AI315" s="29">
        <f t="shared" si="70"/>
        <v>117188.33903322813</v>
      </c>
      <c r="AJ315" s="45">
        <f t="shared" si="63"/>
        <v>0</v>
      </c>
      <c r="AL315" s="83">
        <v>0</v>
      </c>
      <c r="AM315" s="22">
        <v>0</v>
      </c>
      <c r="AN315" s="45">
        <f t="shared" si="64"/>
        <v>0</v>
      </c>
    </row>
    <row r="316" spans="2:40" x14ac:dyDescent="0.25">
      <c r="B316" s="53">
        <f>B315*(((1+Dashboard!$C$20)^(1/30)))</f>
        <v>1153164.7073809847</v>
      </c>
      <c r="C316" s="1">
        <v>312</v>
      </c>
      <c r="D316" s="51">
        <f t="shared" si="65"/>
        <v>46485</v>
      </c>
      <c r="E316" s="7">
        <f t="shared" si="66"/>
        <v>9</v>
      </c>
      <c r="F316" s="31">
        <f>E316*Dashboard!$I$3</f>
        <v>15102</v>
      </c>
      <c r="G316" s="18">
        <f>E299*Dashboard!$I$4</f>
        <v>15750</v>
      </c>
      <c r="H316" s="48"/>
      <c r="I316" s="7">
        <f t="shared" si="67"/>
        <v>9</v>
      </c>
      <c r="J316" s="31">
        <f>I316*Dashboard!$I$3</f>
        <v>15102</v>
      </c>
      <c r="K316" s="29">
        <f>I297*Dashboard!$I$4</f>
        <v>15750</v>
      </c>
      <c r="L316" s="48"/>
      <c r="M316" s="7">
        <f t="shared" si="68"/>
        <v>12</v>
      </c>
      <c r="N316" s="31">
        <f>M316*Dashboard!$I$3</f>
        <v>20136</v>
      </c>
      <c r="O316" s="18">
        <f>M295*Dashboard!$I$4</f>
        <v>21000</v>
      </c>
      <c r="P316" s="48"/>
      <c r="Q316" s="32">
        <f t="shared" si="57"/>
        <v>30</v>
      </c>
      <c r="R316" s="31">
        <f t="shared" si="58"/>
        <v>50340</v>
      </c>
      <c r="S316" s="31">
        <f t="shared" si="59"/>
        <v>52500</v>
      </c>
      <c r="T316" s="31">
        <f t="shared" si="60"/>
        <v>2160</v>
      </c>
      <c r="U316" s="31">
        <f>U315-R316+S316+V316-Custos!D316+Z315+AF315+AL315-AB315-AH315-AM315</f>
        <v>201554.63638301837</v>
      </c>
      <c r="V316" s="31">
        <f>U315*(((1+Dashboard!$C$17)^(1/30))-1)</f>
        <v>75.54836269933196</v>
      </c>
      <c r="W316" s="29">
        <f t="shared" si="61"/>
        <v>251894.63638301837</v>
      </c>
      <c r="X316" s="45">
        <f>-R316+S316-Custos!D316</f>
        <v>656.59999999999991</v>
      </c>
      <c r="Z316" s="83">
        <v>0</v>
      </c>
      <c r="AA316" s="33">
        <f>AC315*(((1+Dashboard!$C$20)^(1/30))-1)</f>
        <v>316.97739681031902</v>
      </c>
      <c r="AB316" s="84">
        <v>0</v>
      </c>
      <c r="AC316" s="18">
        <f t="shared" si="69"/>
        <v>691898.82442858955</v>
      </c>
      <c r="AD316" s="47">
        <f t="shared" si="62"/>
        <v>0</v>
      </c>
      <c r="AF316" s="83">
        <v>0</v>
      </c>
      <c r="AG316" s="33">
        <f>AI315*(((1+Dashboard!$C$21)^(1/30))-1)</f>
        <v>59.975016334466929</v>
      </c>
      <c r="AH316" s="84">
        <v>0</v>
      </c>
      <c r="AI316" s="29">
        <f t="shared" si="70"/>
        <v>117248.3140495626</v>
      </c>
      <c r="AJ316" s="45">
        <f t="shared" si="63"/>
        <v>0</v>
      </c>
      <c r="AL316" s="83">
        <v>0</v>
      </c>
      <c r="AM316" s="22">
        <v>0</v>
      </c>
      <c r="AN316" s="45">
        <f t="shared" si="64"/>
        <v>0</v>
      </c>
    </row>
    <row r="317" spans="2:40" x14ac:dyDescent="0.25">
      <c r="B317" s="53">
        <f>B316*(((1+Dashboard!$C$20)^(1/30)))</f>
        <v>1153693.2451796674</v>
      </c>
      <c r="C317" s="1">
        <v>313</v>
      </c>
      <c r="D317" s="51">
        <f t="shared" si="65"/>
        <v>46486</v>
      </c>
      <c r="E317" s="7">
        <f t="shared" si="66"/>
        <v>9</v>
      </c>
      <c r="F317" s="31">
        <f>E317*Dashboard!$I$3</f>
        <v>15102</v>
      </c>
      <c r="G317" s="18">
        <f>E300*Dashboard!$I$4</f>
        <v>15750</v>
      </c>
      <c r="H317" s="48"/>
      <c r="I317" s="7">
        <f t="shared" si="67"/>
        <v>9</v>
      </c>
      <c r="J317" s="31">
        <f>I317*Dashboard!$I$3</f>
        <v>15102</v>
      </c>
      <c r="K317" s="29">
        <f>I298*Dashboard!$I$4</f>
        <v>15750</v>
      </c>
      <c r="L317" s="48"/>
      <c r="M317" s="7">
        <f t="shared" si="68"/>
        <v>12</v>
      </c>
      <c r="N317" s="31">
        <f>M317*Dashboard!$I$3</f>
        <v>20136</v>
      </c>
      <c r="O317" s="18">
        <f>M296*Dashboard!$I$4</f>
        <v>21000</v>
      </c>
      <c r="P317" s="48"/>
      <c r="Q317" s="32">
        <f t="shared" si="57"/>
        <v>30</v>
      </c>
      <c r="R317" s="31">
        <f t="shared" si="58"/>
        <v>50340</v>
      </c>
      <c r="S317" s="31">
        <f t="shared" si="59"/>
        <v>52500</v>
      </c>
      <c r="T317" s="31">
        <f t="shared" si="60"/>
        <v>2160</v>
      </c>
      <c r="U317" s="31">
        <f>U316-R317+S317+V317-Custos!D317+Z316+AF316+AL316-AB316-AH316-AM316</f>
        <v>202287.06017607712</v>
      </c>
      <c r="V317" s="31">
        <f>U316*(((1+Dashboard!$C$17)^(1/30))-1)</f>
        <v>75.823793058751349</v>
      </c>
      <c r="W317" s="29">
        <f t="shared" si="61"/>
        <v>252627.06017607712</v>
      </c>
      <c r="X317" s="45">
        <f>-R317+S317-Custos!D317</f>
        <v>656.59999999999991</v>
      </c>
      <c r="Z317" s="83">
        <v>0</v>
      </c>
      <c r="AA317" s="33">
        <f>AC316*(((1+Dashboard!$C$20)^(1/30))-1)</f>
        <v>317.12267920967616</v>
      </c>
      <c r="AB317" s="84">
        <v>0</v>
      </c>
      <c r="AC317" s="18">
        <f t="shared" si="69"/>
        <v>692215.94710779923</v>
      </c>
      <c r="AD317" s="47">
        <f t="shared" si="62"/>
        <v>0</v>
      </c>
      <c r="AF317" s="83">
        <v>0</v>
      </c>
      <c r="AG317" s="33">
        <f>AI316*(((1+Dashboard!$C$21)^(1/30))-1)</f>
        <v>60.005710536756972</v>
      </c>
      <c r="AH317" s="84">
        <v>0</v>
      </c>
      <c r="AI317" s="29">
        <f t="shared" si="70"/>
        <v>117308.31976009936</v>
      </c>
      <c r="AJ317" s="45">
        <f t="shared" si="63"/>
        <v>0</v>
      </c>
      <c r="AL317" s="83">
        <v>0</v>
      </c>
      <c r="AM317" s="22">
        <v>0</v>
      </c>
      <c r="AN317" s="45">
        <f t="shared" si="64"/>
        <v>0</v>
      </c>
    </row>
    <row r="318" spans="2:40" x14ac:dyDescent="0.25">
      <c r="B318" s="53">
        <f>B317*(((1+Dashboard!$C$20)^(1/30)))</f>
        <v>1154222.0252266629</v>
      </c>
      <c r="C318" s="1">
        <v>314</v>
      </c>
      <c r="D318" s="51">
        <f t="shared" si="65"/>
        <v>46487</v>
      </c>
      <c r="E318" s="7">
        <f t="shared" si="66"/>
        <v>9</v>
      </c>
      <c r="F318" s="31">
        <f>E318*Dashboard!$I$3</f>
        <v>15102</v>
      </c>
      <c r="G318" s="18">
        <f>E301*Dashboard!$I$4</f>
        <v>15750</v>
      </c>
      <c r="H318" s="48"/>
      <c r="I318" s="7">
        <f t="shared" si="67"/>
        <v>9</v>
      </c>
      <c r="J318" s="31">
        <f>I318*Dashboard!$I$3</f>
        <v>15102</v>
      </c>
      <c r="K318" s="29">
        <f>I299*Dashboard!$I$4</f>
        <v>15750</v>
      </c>
      <c r="L318" s="48"/>
      <c r="M318" s="7">
        <f t="shared" si="68"/>
        <v>12</v>
      </c>
      <c r="N318" s="31">
        <f>M318*Dashboard!$I$3</f>
        <v>20136</v>
      </c>
      <c r="O318" s="18">
        <f>M297*Dashboard!$I$4</f>
        <v>21000</v>
      </c>
      <c r="P318" s="48"/>
      <c r="Q318" s="32">
        <f t="shared" si="57"/>
        <v>30</v>
      </c>
      <c r="R318" s="31">
        <f t="shared" si="58"/>
        <v>50340</v>
      </c>
      <c r="S318" s="31">
        <f t="shared" si="59"/>
        <v>52500</v>
      </c>
      <c r="T318" s="31">
        <f t="shared" si="60"/>
        <v>2160</v>
      </c>
      <c r="U318" s="31">
        <f>U317-R318+S318+V318-Custos!D318+Z317+AF317+AL317-AB317-AH317-AM317</f>
        <v>203019.75950311075</v>
      </c>
      <c r="V318" s="31">
        <f>U317*(((1+Dashboard!$C$17)^(1/30))-1)</f>
        <v>76.099327033621861</v>
      </c>
      <c r="W318" s="29">
        <f t="shared" si="61"/>
        <v>253359.75950311075</v>
      </c>
      <c r="X318" s="45">
        <f>-R318+S318-Custos!D318</f>
        <v>656.59999999999991</v>
      </c>
      <c r="Z318" s="83">
        <v>0</v>
      </c>
      <c r="AA318" s="33">
        <f>AC317*(((1+Dashboard!$C$20)^(1/30))-1)</f>
        <v>317.26802819730045</v>
      </c>
      <c r="AB318" s="84">
        <v>0</v>
      </c>
      <c r="AC318" s="18">
        <f t="shared" si="69"/>
        <v>692533.21513599658</v>
      </c>
      <c r="AD318" s="47">
        <f t="shared" si="62"/>
        <v>0</v>
      </c>
      <c r="AF318" s="83">
        <v>0</v>
      </c>
      <c r="AG318" s="33">
        <f>AI317*(((1+Dashboard!$C$21)^(1/30))-1)</f>
        <v>60.036420447822294</v>
      </c>
      <c r="AH318" s="84">
        <v>0</v>
      </c>
      <c r="AI318" s="29">
        <f t="shared" si="70"/>
        <v>117368.35618054718</v>
      </c>
      <c r="AJ318" s="45">
        <f t="shared" si="63"/>
        <v>0</v>
      </c>
      <c r="AL318" s="83">
        <v>0</v>
      </c>
      <c r="AM318" s="22">
        <v>0</v>
      </c>
      <c r="AN318" s="45">
        <f t="shared" si="64"/>
        <v>0</v>
      </c>
    </row>
    <row r="319" spans="2:40" x14ac:dyDescent="0.25">
      <c r="B319" s="53">
        <f>B318*(((1+Dashboard!$C$20)^(1/30)))</f>
        <v>1154751.0476330023</v>
      </c>
      <c r="C319" s="1">
        <v>315</v>
      </c>
      <c r="D319" s="51">
        <f t="shared" si="65"/>
        <v>46488</v>
      </c>
      <c r="E319" s="7">
        <f t="shared" si="66"/>
        <v>9</v>
      </c>
      <c r="F319" s="31">
        <f>E319*Dashboard!$I$3</f>
        <v>15102</v>
      </c>
      <c r="G319" s="18">
        <f>E302*Dashboard!$I$4</f>
        <v>15750</v>
      </c>
      <c r="H319" s="48"/>
      <c r="I319" s="7">
        <f t="shared" si="67"/>
        <v>9</v>
      </c>
      <c r="J319" s="31">
        <f>I319*Dashboard!$I$3</f>
        <v>15102</v>
      </c>
      <c r="K319" s="29">
        <f>I300*Dashboard!$I$4</f>
        <v>15750</v>
      </c>
      <c r="L319" s="48"/>
      <c r="M319" s="7">
        <f t="shared" si="68"/>
        <v>12</v>
      </c>
      <c r="N319" s="31">
        <f>M319*Dashboard!$I$3</f>
        <v>20136</v>
      </c>
      <c r="O319" s="18">
        <f>M298*Dashboard!$I$4</f>
        <v>21000</v>
      </c>
      <c r="P319" s="48"/>
      <c r="Q319" s="32">
        <f t="shared" si="57"/>
        <v>30</v>
      </c>
      <c r="R319" s="31">
        <f t="shared" si="58"/>
        <v>50340</v>
      </c>
      <c r="S319" s="31">
        <f t="shared" si="59"/>
        <v>52500</v>
      </c>
      <c r="T319" s="31">
        <f t="shared" si="60"/>
        <v>2160</v>
      </c>
      <c r="U319" s="31">
        <f>U318-R319+S319+V319-Custos!D319+Z318+AF318+AL318-AB318-AH318-AM318</f>
        <v>203752.73446777367</v>
      </c>
      <c r="V319" s="31">
        <f>U318*(((1+Dashboard!$C$17)^(1/30))-1)</f>
        <v>76.374964662923077</v>
      </c>
      <c r="W319" s="29">
        <f t="shared" si="61"/>
        <v>254092.73446777367</v>
      </c>
      <c r="X319" s="45">
        <f>-R319+S319-Custos!D319</f>
        <v>656.59999999999991</v>
      </c>
      <c r="Z319" s="83">
        <v>0</v>
      </c>
      <c r="AA319" s="33">
        <f>AC318*(((1+Dashboard!$C$20)^(1/30))-1)</f>
        <v>317.41344380371169</v>
      </c>
      <c r="AB319" s="84">
        <v>0</v>
      </c>
      <c r="AC319" s="18">
        <f t="shared" si="69"/>
        <v>692850.62857980025</v>
      </c>
      <c r="AD319" s="47">
        <f t="shared" si="62"/>
        <v>0</v>
      </c>
      <c r="AF319" s="83">
        <v>0</v>
      </c>
      <c r="AG319" s="33">
        <f>AI318*(((1+Dashboard!$C$21)^(1/30))-1)</f>
        <v>60.067146075702389</v>
      </c>
      <c r="AH319" s="84">
        <v>0</v>
      </c>
      <c r="AI319" s="29">
        <f t="shared" si="70"/>
        <v>117428.42332662288</v>
      </c>
      <c r="AJ319" s="45">
        <f t="shared" si="63"/>
        <v>0</v>
      </c>
      <c r="AL319" s="83">
        <v>0</v>
      </c>
      <c r="AM319" s="22">
        <v>0</v>
      </c>
      <c r="AN319" s="45">
        <f t="shared" si="64"/>
        <v>0</v>
      </c>
    </row>
    <row r="320" spans="2:40" x14ac:dyDescent="0.25">
      <c r="B320" s="53">
        <f>B319*(((1+Dashboard!$C$20)^(1/30)))</f>
        <v>1155280.3125097679</v>
      </c>
      <c r="C320" s="1">
        <v>316</v>
      </c>
      <c r="D320" s="51">
        <f t="shared" si="65"/>
        <v>46489</v>
      </c>
      <c r="E320" s="7">
        <f t="shared" si="66"/>
        <v>9</v>
      </c>
      <c r="F320" s="31">
        <f>E320*Dashboard!$I$3</f>
        <v>15102</v>
      </c>
      <c r="G320" s="18">
        <f>E303*Dashboard!$I$4</f>
        <v>15750</v>
      </c>
      <c r="H320" s="48"/>
      <c r="I320" s="7">
        <f t="shared" si="67"/>
        <v>9</v>
      </c>
      <c r="J320" s="31">
        <f>I320*Dashboard!$I$3</f>
        <v>15102</v>
      </c>
      <c r="K320" s="29">
        <f>I301*Dashboard!$I$4</f>
        <v>15750</v>
      </c>
      <c r="L320" s="48"/>
      <c r="M320" s="7">
        <f t="shared" si="68"/>
        <v>12</v>
      </c>
      <c r="N320" s="31">
        <f>M320*Dashboard!$I$3</f>
        <v>20136</v>
      </c>
      <c r="O320" s="18">
        <f>M299*Dashboard!$I$4</f>
        <v>21000</v>
      </c>
      <c r="P320" s="48"/>
      <c r="Q320" s="32">
        <f t="shared" ref="Q320:Q383" si="71">E320+I320+M320</f>
        <v>30</v>
      </c>
      <c r="R320" s="31">
        <f t="shared" ref="R320:R383" si="72">F320+J320+N320</f>
        <v>50340</v>
      </c>
      <c r="S320" s="31">
        <f t="shared" ref="S320:S383" si="73">G320+K320+O320</f>
        <v>52500</v>
      </c>
      <c r="T320" s="31">
        <f t="shared" ref="T320:T383" si="74">S320-R303</f>
        <v>2160</v>
      </c>
      <c r="U320" s="31">
        <f>U319-R320+S320+V320-Custos!D320+Z319+AF319+AL319-AB319-AH319-AM319</f>
        <v>204485.98517375931</v>
      </c>
      <c r="V320" s="31">
        <f>U319*(((1+Dashboard!$C$17)^(1/30))-1)</f>
        <v>76.650705985649253</v>
      </c>
      <c r="W320" s="29">
        <f t="shared" ref="W320:W383" si="75">U320+R320</f>
        <v>254825.98517375931</v>
      </c>
      <c r="X320" s="45">
        <f>-R320+S320-Custos!D320</f>
        <v>656.59999999999991</v>
      </c>
      <c r="Z320" s="83">
        <v>0</v>
      </c>
      <c r="AA320" s="33">
        <f>AC319*(((1+Dashboard!$C$20)^(1/30))-1)</f>
        <v>317.55892605944371</v>
      </c>
      <c r="AB320" s="84">
        <v>0</v>
      </c>
      <c r="AC320" s="18">
        <f t="shared" si="69"/>
        <v>693168.18750585965</v>
      </c>
      <c r="AD320" s="47">
        <f t="shared" ref="AD320:AD383" si="76">-Z320+AB320</f>
        <v>0</v>
      </c>
      <c r="AF320" s="83">
        <v>0</v>
      </c>
      <c r="AG320" s="33">
        <f>AI319*(((1+Dashboard!$C$21)^(1/30))-1)</f>
        <v>60.097887428440849</v>
      </c>
      <c r="AH320" s="84">
        <v>0</v>
      </c>
      <c r="AI320" s="29">
        <f t="shared" si="70"/>
        <v>117488.52121405132</v>
      </c>
      <c r="AJ320" s="45">
        <f t="shared" ref="AJ320:AJ383" si="77">-AF320+AH320</f>
        <v>0</v>
      </c>
      <c r="AL320" s="83">
        <v>0</v>
      </c>
      <c r="AM320" s="22">
        <v>0</v>
      </c>
      <c r="AN320" s="45">
        <f t="shared" ref="AN320:AN383" si="78">-AL320+AM320</f>
        <v>0</v>
      </c>
    </row>
    <row r="321" spans="2:40" x14ac:dyDescent="0.25">
      <c r="B321" s="53">
        <f>B320*(((1+Dashboard!$C$20)^(1/30)))</f>
        <v>1155809.819968093</v>
      </c>
      <c r="C321" s="1">
        <v>317</v>
      </c>
      <c r="D321" s="51">
        <f t="shared" si="65"/>
        <v>46490</v>
      </c>
      <c r="E321" s="7">
        <f t="shared" si="66"/>
        <v>9</v>
      </c>
      <c r="F321" s="31">
        <f>E321*Dashboard!$I$3</f>
        <v>15102</v>
      </c>
      <c r="G321" s="18">
        <f>E304*Dashboard!$I$4</f>
        <v>15750</v>
      </c>
      <c r="H321" s="48"/>
      <c r="I321" s="7">
        <f t="shared" si="67"/>
        <v>9</v>
      </c>
      <c r="J321" s="31">
        <f>I321*Dashboard!$I$3</f>
        <v>15102</v>
      </c>
      <c r="K321" s="29">
        <f>I302*Dashboard!$I$4</f>
        <v>15750</v>
      </c>
      <c r="L321" s="48"/>
      <c r="M321" s="7">
        <f t="shared" si="68"/>
        <v>12</v>
      </c>
      <c r="N321" s="31">
        <f>M321*Dashboard!$I$3</f>
        <v>20136</v>
      </c>
      <c r="O321" s="18">
        <f>M300*Dashboard!$I$4</f>
        <v>21000</v>
      </c>
      <c r="P321" s="48"/>
      <c r="Q321" s="32">
        <f t="shared" si="71"/>
        <v>30</v>
      </c>
      <c r="R321" s="31">
        <f t="shared" si="72"/>
        <v>50340</v>
      </c>
      <c r="S321" s="31">
        <f t="shared" si="73"/>
        <v>52500</v>
      </c>
      <c r="T321" s="31">
        <f t="shared" si="74"/>
        <v>2160</v>
      </c>
      <c r="U321" s="31">
        <f>U320-R321+S321+V321-Custos!D321+Z320+AF320+AL320-AB320-AH320-AM320</f>
        <v>205219.51172480013</v>
      </c>
      <c r="V321" s="31">
        <f>U320*(((1+Dashboard!$C$17)^(1/30))-1)</f>
        <v>76.926551040809301</v>
      </c>
      <c r="W321" s="29">
        <f t="shared" si="75"/>
        <v>255559.51172480013</v>
      </c>
      <c r="X321" s="45">
        <f>-R321+S321-Custos!D321</f>
        <v>656.59999999999991</v>
      </c>
      <c r="Z321" s="83">
        <v>0</v>
      </c>
      <c r="AA321" s="33">
        <f>AC320*(((1+Dashboard!$C$20)^(1/30))-1)</f>
        <v>317.70447499504434</v>
      </c>
      <c r="AB321" s="84">
        <v>0</v>
      </c>
      <c r="AC321" s="18">
        <f t="shared" si="69"/>
        <v>693485.89198085468</v>
      </c>
      <c r="AD321" s="47">
        <f t="shared" si="76"/>
        <v>0</v>
      </c>
      <c r="AF321" s="83">
        <v>0</v>
      </c>
      <c r="AG321" s="33">
        <f>AI320*(((1+Dashboard!$C$21)^(1/30))-1)</f>
        <v>60.128644514085401</v>
      </c>
      <c r="AH321" s="84">
        <v>0</v>
      </c>
      <c r="AI321" s="29">
        <f t="shared" si="70"/>
        <v>117548.6498585654</v>
      </c>
      <c r="AJ321" s="45">
        <f t="shared" si="77"/>
        <v>0</v>
      </c>
      <c r="AL321" s="83">
        <v>0</v>
      </c>
      <c r="AM321" s="22">
        <v>0</v>
      </c>
      <c r="AN321" s="45">
        <f t="shared" si="78"/>
        <v>0</v>
      </c>
    </row>
    <row r="322" spans="2:40" x14ac:dyDescent="0.25">
      <c r="B322" s="53">
        <f>B321*(((1+Dashboard!$C$20)^(1/30)))</f>
        <v>1156339.5701191614</v>
      </c>
      <c r="C322" s="1">
        <v>318</v>
      </c>
      <c r="D322" s="51">
        <f t="shared" si="65"/>
        <v>46491</v>
      </c>
      <c r="E322" s="7">
        <f t="shared" si="66"/>
        <v>9</v>
      </c>
      <c r="F322" s="31">
        <f>E322*Dashboard!$I$3</f>
        <v>15102</v>
      </c>
      <c r="G322" s="18">
        <f>E305*Dashboard!$I$4</f>
        <v>15750</v>
      </c>
      <c r="H322" s="48"/>
      <c r="I322" s="7">
        <f t="shared" si="67"/>
        <v>9</v>
      </c>
      <c r="J322" s="31">
        <f>I322*Dashboard!$I$3</f>
        <v>15102</v>
      </c>
      <c r="K322" s="29">
        <f>I303*Dashboard!$I$4</f>
        <v>15750</v>
      </c>
      <c r="L322" s="48"/>
      <c r="M322" s="7">
        <f t="shared" si="68"/>
        <v>12</v>
      </c>
      <c r="N322" s="31">
        <f>M322*Dashboard!$I$3</f>
        <v>20136</v>
      </c>
      <c r="O322" s="18">
        <f>M301*Dashboard!$I$4</f>
        <v>21000</v>
      </c>
      <c r="P322" s="48"/>
      <c r="Q322" s="32">
        <f t="shared" si="71"/>
        <v>30</v>
      </c>
      <c r="R322" s="31">
        <f t="shared" si="72"/>
        <v>50340</v>
      </c>
      <c r="S322" s="31">
        <f t="shared" si="73"/>
        <v>52500</v>
      </c>
      <c r="T322" s="31">
        <f t="shared" si="74"/>
        <v>2160</v>
      </c>
      <c r="U322" s="31">
        <f>U321-R322+S322+V322-Custos!D322+Z321+AF321+AL321-AB321-AH321-AM321</f>
        <v>205953.31422466756</v>
      </c>
      <c r="V322" s="31">
        <f>U321*(((1+Dashboard!$C$17)^(1/30))-1)</f>
        <v>77.202499867426837</v>
      </c>
      <c r="W322" s="29">
        <f t="shared" si="75"/>
        <v>256293.31422466756</v>
      </c>
      <c r="X322" s="45">
        <f>-R322+S322-Custos!D322</f>
        <v>656.59999999999991</v>
      </c>
      <c r="Z322" s="83">
        <v>0</v>
      </c>
      <c r="AA322" s="33">
        <f>AC321*(((1+Dashboard!$C$20)^(1/30))-1)</f>
        <v>317.85009064107544</v>
      </c>
      <c r="AB322" s="84">
        <v>0</v>
      </c>
      <c r="AC322" s="18">
        <f t="shared" si="69"/>
        <v>693803.74207149574</v>
      </c>
      <c r="AD322" s="47">
        <f t="shared" si="76"/>
        <v>0</v>
      </c>
      <c r="AF322" s="83">
        <v>0</v>
      </c>
      <c r="AG322" s="33">
        <f>AI321*(((1+Dashboard!$C$21)^(1/30))-1)</f>
        <v>60.159417340687874</v>
      </c>
      <c r="AH322" s="84">
        <v>0</v>
      </c>
      <c r="AI322" s="29">
        <f t="shared" si="70"/>
        <v>117608.8092759061</v>
      </c>
      <c r="AJ322" s="45">
        <f t="shared" si="77"/>
        <v>0</v>
      </c>
      <c r="AL322" s="83">
        <v>0</v>
      </c>
      <c r="AM322" s="22">
        <v>0</v>
      </c>
      <c r="AN322" s="45">
        <f t="shared" si="78"/>
        <v>0</v>
      </c>
    </row>
    <row r="323" spans="2:40" x14ac:dyDescent="0.25">
      <c r="B323" s="53">
        <f>B322*(((1+Dashboard!$C$20)^(1/30)))</f>
        <v>1156869.5630742083</v>
      </c>
      <c r="C323" s="1">
        <v>319</v>
      </c>
      <c r="D323" s="51">
        <f t="shared" si="65"/>
        <v>46492</v>
      </c>
      <c r="E323" s="7">
        <f t="shared" si="66"/>
        <v>9</v>
      </c>
      <c r="F323" s="31">
        <f>E323*Dashboard!$I$3</f>
        <v>15102</v>
      </c>
      <c r="G323" s="18">
        <f>E306*Dashboard!$I$4</f>
        <v>15750</v>
      </c>
      <c r="H323" s="48"/>
      <c r="I323" s="7">
        <f t="shared" si="67"/>
        <v>9</v>
      </c>
      <c r="J323" s="31">
        <f>I323*Dashboard!$I$3</f>
        <v>15102</v>
      </c>
      <c r="K323" s="29">
        <f>I304*Dashboard!$I$4</f>
        <v>15750</v>
      </c>
      <c r="L323" s="48"/>
      <c r="M323" s="7">
        <f t="shared" si="68"/>
        <v>12</v>
      </c>
      <c r="N323" s="31">
        <f>M323*Dashboard!$I$3</f>
        <v>20136</v>
      </c>
      <c r="O323" s="18">
        <f>M302*Dashboard!$I$4</f>
        <v>21000</v>
      </c>
      <c r="P323" s="48"/>
      <c r="Q323" s="32">
        <f t="shared" si="71"/>
        <v>30</v>
      </c>
      <c r="R323" s="31">
        <f t="shared" si="72"/>
        <v>50340</v>
      </c>
      <c r="S323" s="31">
        <f t="shared" si="73"/>
        <v>52500</v>
      </c>
      <c r="T323" s="31">
        <f t="shared" si="74"/>
        <v>2160</v>
      </c>
      <c r="U323" s="31">
        <f>U322-R323+S323+V323-Custos!D323+Z322+AF322+AL322-AB322-AH322-AM322</f>
        <v>206687.39277717209</v>
      </c>
      <c r="V323" s="31">
        <f>U322*(((1+Dashboard!$C$17)^(1/30))-1)</f>
        <v>77.478552504540133</v>
      </c>
      <c r="W323" s="29">
        <f t="shared" si="75"/>
        <v>257027.39277717209</v>
      </c>
      <c r="X323" s="45">
        <f>-R323+S323-Custos!D323</f>
        <v>656.59999999999991</v>
      </c>
      <c r="Z323" s="83">
        <v>0</v>
      </c>
      <c r="AA323" s="33">
        <f>AC322*(((1+Dashboard!$C$20)^(1/30))-1)</f>
        <v>317.99577302811286</v>
      </c>
      <c r="AB323" s="84">
        <v>0</v>
      </c>
      <c r="AC323" s="18">
        <f t="shared" si="69"/>
        <v>694121.73784452386</v>
      </c>
      <c r="AD323" s="47">
        <f t="shared" si="76"/>
        <v>0</v>
      </c>
      <c r="AF323" s="83">
        <v>0</v>
      </c>
      <c r="AG323" s="33">
        <f>AI322*(((1+Dashboard!$C$21)^(1/30))-1)</f>
        <v>60.19020591630423</v>
      </c>
      <c r="AH323" s="84">
        <v>0</v>
      </c>
      <c r="AI323" s="29">
        <f t="shared" si="70"/>
        <v>117668.99948182241</v>
      </c>
      <c r="AJ323" s="45">
        <f t="shared" si="77"/>
        <v>0</v>
      </c>
      <c r="AL323" s="83">
        <v>0</v>
      </c>
      <c r="AM323" s="22">
        <v>0</v>
      </c>
      <c r="AN323" s="45">
        <f t="shared" si="78"/>
        <v>0</v>
      </c>
    </row>
    <row r="324" spans="2:40" x14ac:dyDescent="0.25">
      <c r="B324" s="53">
        <f>B323*(((1+Dashboard!$C$20)^(1/30)))</f>
        <v>1157399.7989445196</v>
      </c>
      <c r="C324" s="1">
        <v>320</v>
      </c>
      <c r="D324" s="51">
        <f t="shared" si="65"/>
        <v>46493</v>
      </c>
      <c r="E324" s="7">
        <f t="shared" si="66"/>
        <v>9</v>
      </c>
      <c r="F324" s="31">
        <f>E324*Dashboard!$I$3</f>
        <v>15102</v>
      </c>
      <c r="G324" s="18">
        <f>E307*Dashboard!$I$4</f>
        <v>15750</v>
      </c>
      <c r="H324" s="48"/>
      <c r="I324" s="7">
        <f t="shared" si="67"/>
        <v>9</v>
      </c>
      <c r="J324" s="31">
        <f>I324*Dashboard!$I$3</f>
        <v>15102</v>
      </c>
      <c r="K324" s="29">
        <f>I305*Dashboard!$I$4</f>
        <v>15750</v>
      </c>
      <c r="L324" s="48"/>
      <c r="M324" s="7">
        <f t="shared" si="68"/>
        <v>12</v>
      </c>
      <c r="N324" s="31">
        <f>M324*Dashboard!$I$3</f>
        <v>20136</v>
      </c>
      <c r="O324" s="18">
        <f>M303*Dashboard!$I$4</f>
        <v>21000</v>
      </c>
      <c r="P324" s="48"/>
      <c r="Q324" s="32">
        <f t="shared" si="71"/>
        <v>30</v>
      </c>
      <c r="R324" s="31">
        <f t="shared" si="72"/>
        <v>50340</v>
      </c>
      <c r="S324" s="31">
        <f t="shared" si="73"/>
        <v>52500</v>
      </c>
      <c r="T324" s="31">
        <f t="shared" si="74"/>
        <v>2160</v>
      </c>
      <c r="U324" s="31">
        <f>U323-R324+S324+V324-Custos!D324+Z323+AF323+AL323-AB323-AH323-AM323</f>
        <v>207421.74748616331</v>
      </c>
      <c r="V324" s="31">
        <f>U323*(((1+Dashboard!$C$17)^(1/30))-1)</f>
        <v>77.754708991202136</v>
      </c>
      <c r="W324" s="29">
        <f t="shared" si="75"/>
        <v>257761.74748616331</v>
      </c>
      <c r="X324" s="45">
        <f>-R324+S324-Custos!D324</f>
        <v>656.59999999999991</v>
      </c>
      <c r="Z324" s="83">
        <v>0</v>
      </c>
      <c r="AA324" s="33">
        <f>AC323*(((1+Dashboard!$C$20)^(1/30))-1)</f>
        <v>318.14152218674644</v>
      </c>
      <c r="AB324" s="84">
        <v>0</v>
      </c>
      <c r="AC324" s="18">
        <f t="shared" si="69"/>
        <v>694439.87936671055</v>
      </c>
      <c r="AD324" s="47">
        <f t="shared" si="76"/>
        <v>0</v>
      </c>
      <c r="AF324" s="83">
        <v>0</v>
      </c>
      <c r="AG324" s="33">
        <f>AI323*(((1+Dashboard!$C$21)^(1/30))-1)</f>
        <v>60.221010248994553</v>
      </c>
      <c r="AH324" s="84">
        <v>0</v>
      </c>
      <c r="AI324" s="29">
        <f t="shared" si="70"/>
        <v>117729.2204920714</v>
      </c>
      <c r="AJ324" s="45">
        <f t="shared" si="77"/>
        <v>0</v>
      </c>
      <c r="AL324" s="83">
        <v>0</v>
      </c>
      <c r="AM324" s="22">
        <v>0</v>
      </c>
      <c r="AN324" s="45">
        <f t="shared" si="78"/>
        <v>0</v>
      </c>
    </row>
    <row r="325" spans="2:40" x14ac:dyDescent="0.25">
      <c r="B325" s="53">
        <f>B324*(((1+Dashboard!$C$20)^(1/30)))</f>
        <v>1157930.2778414323</v>
      </c>
      <c r="C325" s="1">
        <v>321</v>
      </c>
      <c r="D325" s="51">
        <f t="shared" si="65"/>
        <v>46494</v>
      </c>
      <c r="E325" s="7">
        <f t="shared" si="66"/>
        <v>9</v>
      </c>
      <c r="F325" s="31">
        <f>E325*Dashboard!$I$3</f>
        <v>15102</v>
      </c>
      <c r="G325" s="18">
        <f>E308*Dashboard!$I$4</f>
        <v>15750</v>
      </c>
      <c r="H325" s="48"/>
      <c r="I325" s="7">
        <f t="shared" si="67"/>
        <v>9</v>
      </c>
      <c r="J325" s="31">
        <f>I325*Dashboard!$I$3</f>
        <v>15102</v>
      </c>
      <c r="K325" s="29">
        <f>I306*Dashboard!$I$4</f>
        <v>15750</v>
      </c>
      <c r="L325" s="48"/>
      <c r="M325" s="7">
        <f t="shared" si="68"/>
        <v>12</v>
      </c>
      <c r="N325" s="31">
        <f>M325*Dashboard!$I$3</f>
        <v>20136</v>
      </c>
      <c r="O325" s="18">
        <f>M304*Dashboard!$I$4</f>
        <v>21000</v>
      </c>
      <c r="P325" s="48"/>
      <c r="Q325" s="32">
        <f t="shared" si="71"/>
        <v>30</v>
      </c>
      <c r="R325" s="31">
        <f t="shared" si="72"/>
        <v>50340</v>
      </c>
      <c r="S325" s="31">
        <f t="shared" si="73"/>
        <v>52500</v>
      </c>
      <c r="T325" s="31">
        <f t="shared" si="74"/>
        <v>2160</v>
      </c>
      <c r="U325" s="31">
        <f>U324-R325+S325+V325-Custos!D325+Z324+AF324+AL324-AB324-AH324-AM324</f>
        <v>208156.3784555298</v>
      </c>
      <c r="V325" s="31">
        <f>U324*(((1+Dashboard!$C$17)^(1/30))-1)</f>
        <v>78.030969366480505</v>
      </c>
      <c r="W325" s="29">
        <f t="shared" si="75"/>
        <v>258496.3784555298</v>
      </c>
      <c r="X325" s="45">
        <f>-R325+S325-Custos!D325</f>
        <v>656.59999999999991</v>
      </c>
      <c r="Z325" s="83">
        <v>0</v>
      </c>
      <c r="AA325" s="33">
        <f>AC324*(((1+Dashboard!$C$20)^(1/30))-1)</f>
        <v>318.28733814757999</v>
      </c>
      <c r="AB325" s="84">
        <v>0</v>
      </c>
      <c r="AC325" s="18">
        <f t="shared" si="69"/>
        <v>694758.16670485807</v>
      </c>
      <c r="AD325" s="47">
        <f t="shared" si="76"/>
        <v>0</v>
      </c>
      <c r="AF325" s="83">
        <v>0</v>
      </c>
      <c r="AG325" s="33">
        <f>AI324*(((1+Dashboard!$C$21)^(1/30))-1)</f>
        <v>60.251830346823034</v>
      </c>
      <c r="AH325" s="84">
        <v>0</v>
      </c>
      <c r="AI325" s="29">
        <f t="shared" si="70"/>
        <v>117789.47232241822</v>
      </c>
      <c r="AJ325" s="45">
        <f t="shared" si="77"/>
        <v>0</v>
      </c>
      <c r="AL325" s="83">
        <v>0</v>
      </c>
      <c r="AM325" s="22">
        <v>0</v>
      </c>
      <c r="AN325" s="45">
        <f t="shared" si="78"/>
        <v>0</v>
      </c>
    </row>
    <row r="326" spans="2:40" x14ac:dyDescent="0.25">
      <c r="B326" s="53">
        <f>B325*(((1+Dashboard!$C$20)^(1/30)))</f>
        <v>1158460.9998763343</v>
      </c>
      <c r="C326" s="1">
        <v>322</v>
      </c>
      <c r="D326" s="51">
        <f t="shared" si="65"/>
        <v>46495</v>
      </c>
      <c r="E326" s="7">
        <f t="shared" si="66"/>
        <v>9</v>
      </c>
      <c r="F326" s="31">
        <f>E326*Dashboard!$I$3</f>
        <v>15102</v>
      </c>
      <c r="G326" s="18">
        <f>E309*Dashboard!$I$4</f>
        <v>15750</v>
      </c>
      <c r="H326" s="48"/>
      <c r="I326" s="7">
        <f t="shared" si="67"/>
        <v>9</v>
      </c>
      <c r="J326" s="31">
        <f>I326*Dashboard!$I$3</f>
        <v>15102</v>
      </c>
      <c r="K326" s="29">
        <f>I307*Dashboard!$I$4</f>
        <v>15750</v>
      </c>
      <c r="L326" s="48"/>
      <c r="M326" s="7">
        <f t="shared" si="68"/>
        <v>12</v>
      </c>
      <c r="N326" s="31">
        <f>M326*Dashboard!$I$3</f>
        <v>20136</v>
      </c>
      <c r="O326" s="18">
        <f>M305*Dashboard!$I$4</f>
        <v>21000</v>
      </c>
      <c r="P326" s="48"/>
      <c r="Q326" s="32">
        <f t="shared" si="71"/>
        <v>30</v>
      </c>
      <c r="R326" s="31">
        <f t="shared" si="72"/>
        <v>50340</v>
      </c>
      <c r="S326" s="31">
        <f t="shared" si="73"/>
        <v>52500</v>
      </c>
      <c r="T326" s="31">
        <f t="shared" si="74"/>
        <v>2160</v>
      </c>
      <c r="U326" s="31">
        <f>U325-R326+S326+V326-Custos!D326+Z325+AF325+AL325-AB325-AH325-AM325</f>
        <v>208891.28578919926</v>
      </c>
      <c r="V326" s="31">
        <f>U325*(((1+Dashboard!$C$17)^(1/30))-1)</f>
        <v>78.307333669457606</v>
      </c>
      <c r="W326" s="29">
        <f t="shared" si="75"/>
        <v>259231.28578919926</v>
      </c>
      <c r="X326" s="45">
        <f>-R326+S326-Custos!D326</f>
        <v>656.59999999999991</v>
      </c>
      <c r="Z326" s="83">
        <v>0</v>
      </c>
      <c r="AA326" s="33">
        <f>AC325*(((1+Dashboard!$C$20)^(1/30))-1)</f>
        <v>318.43322094123153</v>
      </c>
      <c r="AB326" s="84">
        <v>0</v>
      </c>
      <c r="AC326" s="18">
        <f t="shared" si="69"/>
        <v>695076.5999257993</v>
      </c>
      <c r="AD326" s="47">
        <f t="shared" si="76"/>
        <v>0</v>
      </c>
      <c r="AF326" s="83">
        <v>0</v>
      </c>
      <c r="AG326" s="33">
        <f>AI325*(((1+Dashboard!$C$21)^(1/30))-1)</f>
        <v>60.282666217858015</v>
      </c>
      <c r="AH326" s="84">
        <v>0</v>
      </c>
      <c r="AI326" s="29">
        <f t="shared" si="70"/>
        <v>117849.75498863608</v>
      </c>
      <c r="AJ326" s="45">
        <f t="shared" si="77"/>
        <v>0</v>
      </c>
      <c r="AL326" s="83">
        <v>0</v>
      </c>
      <c r="AM326" s="22">
        <v>0</v>
      </c>
      <c r="AN326" s="45">
        <f t="shared" si="78"/>
        <v>0</v>
      </c>
    </row>
    <row r="327" spans="2:40" x14ac:dyDescent="0.25">
      <c r="B327" s="53">
        <f>B326*(((1+Dashboard!$C$20)^(1/30)))</f>
        <v>1158991.9651606649</v>
      </c>
      <c r="C327" s="1">
        <v>323</v>
      </c>
      <c r="D327" s="51">
        <f t="shared" ref="D327:D390" si="79">D326+1</f>
        <v>46496</v>
      </c>
      <c r="E327" s="7">
        <f t="shared" ref="E327:E390" si="80">E326</f>
        <v>9</v>
      </c>
      <c r="F327" s="31">
        <f>E327*Dashboard!$I$3</f>
        <v>15102</v>
      </c>
      <c r="G327" s="18">
        <f>E310*Dashboard!$I$4</f>
        <v>15750</v>
      </c>
      <c r="H327" s="48"/>
      <c r="I327" s="7">
        <f t="shared" ref="I327:I390" si="81">I326</f>
        <v>9</v>
      </c>
      <c r="J327" s="31">
        <f>I327*Dashboard!$I$3</f>
        <v>15102</v>
      </c>
      <c r="K327" s="29">
        <f>I308*Dashboard!$I$4</f>
        <v>15750</v>
      </c>
      <c r="L327" s="48"/>
      <c r="M327" s="7">
        <f t="shared" ref="M327:M390" si="82">M326</f>
        <v>12</v>
      </c>
      <c r="N327" s="31">
        <f>M327*Dashboard!$I$3</f>
        <v>20136</v>
      </c>
      <c r="O327" s="18">
        <f>M306*Dashboard!$I$4</f>
        <v>21000</v>
      </c>
      <c r="P327" s="48"/>
      <c r="Q327" s="32">
        <f t="shared" si="71"/>
        <v>30</v>
      </c>
      <c r="R327" s="31">
        <f t="shared" si="72"/>
        <v>50340</v>
      </c>
      <c r="S327" s="31">
        <f t="shared" si="73"/>
        <v>52500</v>
      </c>
      <c r="T327" s="31">
        <f t="shared" si="74"/>
        <v>2160</v>
      </c>
      <c r="U327" s="31">
        <f>U326-R327+S327+V327-Custos!D327+Z326+AF326+AL326-AB326-AH326-AM326</f>
        <v>209626.46959113851</v>
      </c>
      <c r="V327" s="31">
        <f>U326*(((1+Dashboard!$C$17)^(1/30))-1)</f>
        <v>78.583801939230469</v>
      </c>
      <c r="W327" s="29">
        <f t="shared" si="75"/>
        <v>259966.46959113851</v>
      </c>
      <c r="X327" s="45">
        <f>-R327+S327-Custos!D327</f>
        <v>656.59999999999991</v>
      </c>
      <c r="Z327" s="83">
        <v>0</v>
      </c>
      <c r="AA327" s="33">
        <f>AC326*(((1+Dashboard!$C$20)^(1/30))-1)</f>
        <v>318.57917059833301</v>
      </c>
      <c r="AB327" s="84">
        <v>0</v>
      </c>
      <c r="AC327" s="18">
        <f t="shared" ref="AC327:AC390" si="83">AC326+AA327-AB326+Z327</f>
        <v>695395.17909639759</v>
      </c>
      <c r="AD327" s="47">
        <f t="shared" si="76"/>
        <v>0</v>
      </c>
      <c r="AF327" s="83">
        <v>0</v>
      </c>
      <c r="AG327" s="33">
        <f>AI326*(((1+Dashboard!$C$21)^(1/30))-1)</f>
        <v>60.313517870171957</v>
      </c>
      <c r="AH327" s="84">
        <v>0</v>
      </c>
      <c r="AI327" s="29">
        <f t="shared" ref="AI327:AI390" si="84">AI326+AG327-AH326+AF327</f>
        <v>117910.06850650626</v>
      </c>
      <c r="AJ327" s="45">
        <f t="shared" si="77"/>
        <v>0</v>
      </c>
      <c r="AL327" s="83">
        <v>0</v>
      </c>
      <c r="AM327" s="22">
        <v>0</v>
      </c>
      <c r="AN327" s="45">
        <f t="shared" si="78"/>
        <v>0</v>
      </c>
    </row>
    <row r="328" spans="2:40" x14ac:dyDescent="0.25">
      <c r="B328" s="53">
        <f>B327*(((1+Dashboard!$C$20)^(1/30)))</f>
        <v>1159523.1738059141</v>
      </c>
      <c r="C328" s="1">
        <v>324</v>
      </c>
      <c r="D328" s="51">
        <f t="shared" si="79"/>
        <v>46497</v>
      </c>
      <c r="E328" s="7">
        <f t="shared" si="80"/>
        <v>9</v>
      </c>
      <c r="F328" s="31">
        <f>E328*Dashboard!$I$3</f>
        <v>15102</v>
      </c>
      <c r="G328" s="18">
        <f>E311*Dashboard!$I$4</f>
        <v>15750</v>
      </c>
      <c r="H328" s="48"/>
      <c r="I328" s="7">
        <f t="shared" si="81"/>
        <v>9</v>
      </c>
      <c r="J328" s="31">
        <f>I328*Dashboard!$I$3</f>
        <v>15102</v>
      </c>
      <c r="K328" s="29">
        <f>I309*Dashboard!$I$4</f>
        <v>15750</v>
      </c>
      <c r="L328" s="48"/>
      <c r="M328" s="7">
        <f t="shared" si="82"/>
        <v>12</v>
      </c>
      <c r="N328" s="31">
        <f>M328*Dashboard!$I$3</f>
        <v>20136</v>
      </c>
      <c r="O328" s="18">
        <f>M307*Dashboard!$I$4</f>
        <v>21000</v>
      </c>
      <c r="P328" s="48"/>
      <c r="Q328" s="32">
        <f t="shared" si="71"/>
        <v>30</v>
      </c>
      <c r="R328" s="31">
        <f t="shared" si="72"/>
        <v>50340</v>
      </c>
      <c r="S328" s="31">
        <f t="shared" si="73"/>
        <v>52500</v>
      </c>
      <c r="T328" s="31">
        <f t="shared" si="74"/>
        <v>2160</v>
      </c>
      <c r="U328" s="31">
        <f>U327-R328+S328+V328-Custos!D328+Z327+AF327+AL327-AB327-AH327-AM327</f>
        <v>210361.92996535343</v>
      </c>
      <c r="V328" s="31">
        <f>U327*(((1+Dashboard!$C$17)^(1/30))-1)</f>
        <v>78.860374214910877</v>
      </c>
      <c r="W328" s="29">
        <f t="shared" si="75"/>
        <v>260701.92996535343</v>
      </c>
      <c r="X328" s="45">
        <f>-R328+S328-Custos!D328</f>
        <v>656.59999999999991</v>
      </c>
      <c r="Z328" s="83">
        <v>0</v>
      </c>
      <c r="AA328" s="33">
        <f>AC327*(((1+Dashboard!$C$20)^(1/30))-1)</f>
        <v>318.72518714953031</v>
      </c>
      <c r="AB328" s="84">
        <v>0</v>
      </c>
      <c r="AC328" s="18">
        <f t="shared" si="83"/>
        <v>695713.90428354708</v>
      </c>
      <c r="AD328" s="47">
        <f t="shared" si="76"/>
        <v>0</v>
      </c>
      <c r="AF328" s="83">
        <v>0</v>
      </c>
      <c r="AG328" s="33">
        <f>AI327*(((1+Dashboard!$C$21)^(1/30))-1)</f>
        <v>60.344385311841449</v>
      </c>
      <c r="AH328" s="84">
        <v>0</v>
      </c>
      <c r="AI328" s="29">
        <f t="shared" si="84"/>
        <v>117970.41289181809</v>
      </c>
      <c r="AJ328" s="45">
        <f t="shared" si="77"/>
        <v>0</v>
      </c>
      <c r="AL328" s="83">
        <v>0</v>
      </c>
      <c r="AM328" s="22">
        <v>0</v>
      </c>
      <c r="AN328" s="45">
        <f t="shared" si="78"/>
        <v>0</v>
      </c>
    </row>
    <row r="329" spans="2:40" x14ac:dyDescent="0.25">
      <c r="B329" s="53">
        <f>B328*(((1+Dashboard!$C$20)^(1/30)))</f>
        <v>1160054.6259236233</v>
      </c>
      <c r="C329" s="1">
        <v>325</v>
      </c>
      <c r="D329" s="51">
        <f t="shared" si="79"/>
        <v>46498</v>
      </c>
      <c r="E329" s="7">
        <f t="shared" si="80"/>
        <v>9</v>
      </c>
      <c r="F329" s="31">
        <f>E329*Dashboard!$I$3</f>
        <v>15102</v>
      </c>
      <c r="G329" s="18">
        <f>E312*Dashboard!$I$4</f>
        <v>15750</v>
      </c>
      <c r="H329" s="48"/>
      <c r="I329" s="7">
        <f t="shared" si="81"/>
        <v>9</v>
      </c>
      <c r="J329" s="31">
        <f>I329*Dashboard!$I$3</f>
        <v>15102</v>
      </c>
      <c r="K329" s="29">
        <f>I310*Dashboard!$I$4</f>
        <v>15750</v>
      </c>
      <c r="L329" s="48"/>
      <c r="M329" s="7">
        <f t="shared" si="82"/>
        <v>12</v>
      </c>
      <c r="N329" s="31">
        <f>M329*Dashboard!$I$3</f>
        <v>20136</v>
      </c>
      <c r="O329" s="18">
        <f>M308*Dashboard!$I$4</f>
        <v>21000</v>
      </c>
      <c r="P329" s="48"/>
      <c r="Q329" s="32">
        <f t="shared" si="71"/>
        <v>30</v>
      </c>
      <c r="R329" s="31">
        <f t="shared" si="72"/>
        <v>50340</v>
      </c>
      <c r="S329" s="31">
        <f t="shared" si="73"/>
        <v>52500</v>
      </c>
      <c r="T329" s="31">
        <f t="shared" si="74"/>
        <v>2160</v>
      </c>
      <c r="U329" s="31">
        <f>U328-R329+S329+V329-Custos!D329+Z328+AF328+AL328-AB328-AH328-AM328</f>
        <v>211097.66701588905</v>
      </c>
      <c r="V329" s="31">
        <f>U328*(((1+Dashboard!$C$17)^(1/30))-1)</f>
        <v>79.137050535625278</v>
      </c>
      <c r="W329" s="29">
        <f t="shared" si="75"/>
        <v>261437.66701588905</v>
      </c>
      <c r="X329" s="45">
        <f>-R329+S329-Custos!D329</f>
        <v>656.59999999999991</v>
      </c>
      <c r="Z329" s="83">
        <v>0</v>
      </c>
      <c r="AA329" s="33">
        <f>AC328*(((1+Dashboard!$C$20)^(1/30))-1)</f>
        <v>318.87127062548348</v>
      </c>
      <c r="AB329" s="84">
        <v>0</v>
      </c>
      <c r="AC329" s="18">
        <f t="shared" si="83"/>
        <v>696032.77555417258</v>
      </c>
      <c r="AD329" s="47">
        <f t="shared" si="76"/>
        <v>0</v>
      </c>
      <c r="AF329" s="83">
        <v>0</v>
      </c>
      <c r="AG329" s="33">
        <f>AI328*(((1+Dashboard!$C$21)^(1/30))-1)</f>
        <v>60.375268550947219</v>
      </c>
      <c r="AH329" s="84">
        <v>0</v>
      </c>
      <c r="AI329" s="29">
        <f t="shared" si="84"/>
        <v>118030.78816036905</v>
      </c>
      <c r="AJ329" s="45">
        <f t="shared" si="77"/>
        <v>0</v>
      </c>
      <c r="AL329" s="83">
        <v>0</v>
      </c>
      <c r="AM329" s="22">
        <v>0</v>
      </c>
      <c r="AN329" s="45">
        <f t="shared" si="78"/>
        <v>0</v>
      </c>
    </row>
    <row r="330" spans="2:40" x14ac:dyDescent="0.25">
      <c r="B330" s="53">
        <f>B329*(((1+Dashboard!$C$20)^(1/30)))</f>
        <v>1160586.3216253847</v>
      </c>
      <c r="C330" s="1">
        <v>326</v>
      </c>
      <c r="D330" s="51">
        <f t="shared" si="79"/>
        <v>46499</v>
      </c>
      <c r="E330" s="7">
        <f t="shared" si="80"/>
        <v>9</v>
      </c>
      <c r="F330" s="31">
        <f>E330*Dashboard!$I$3</f>
        <v>15102</v>
      </c>
      <c r="G330" s="18">
        <f>E313*Dashboard!$I$4</f>
        <v>15750</v>
      </c>
      <c r="H330" s="48"/>
      <c r="I330" s="7">
        <f t="shared" si="81"/>
        <v>9</v>
      </c>
      <c r="J330" s="31">
        <f>I330*Dashboard!$I$3</f>
        <v>15102</v>
      </c>
      <c r="K330" s="29">
        <f>I311*Dashboard!$I$4</f>
        <v>15750</v>
      </c>
      <c r="L330" s="48"/>
      <c r="M330" s="7">
        <f t="shared" si="82"/>
        <v>12</v>
      </c>
      <c r="N330" s="31">
        <f>M330*Dashboard!$I$3</f>
        <v>20136</v>
      </c>
      <c r="O330" s="18">
        <f>M309*Dashboard!$I$4</f>
        <v>21000</v>
      </c>
      <c r="P330" s="48"/>
      <c r="Q330" s="32">
        <f t="shared" si="71"/>
        <v>30</v>
      </c>
      <c r="R330" s="31">
        <f t="shared" si="72"/>
        <v>50340</v>
      </c>
      <c r="S330" s="31">
        <f t="shared" si="73"/>
        <v>52500</v>
      </c>
      <c r="T330" s="31">
        <f t="shared" si="74"/>
        <v>2160</v>
      </c>
      <c r="U330" s="31">
        <f>U329-R330+S330+V330-Custos!D330+Z329+AF329+AL329-AB329-AH329-AM329</f>
        <v>211833.68084682958</v>
      </c>
      <c r="V330" s="31">
        <f>U329*(((1+Dashboard!$C$17)^(1/30))-1)</f>
        <v>79.413830940514885</v>
      </c>
      <c r="W330" s="29">
        <f t="shared" si="75"/>
        <v>262173.68084682955</v>
      </c>
      <c r="X330" s="45">
        <f>-R330+S330-Custos!D330</f>
        <v>656.59999999999991</v>
      </c>
      <c r="Z330" s="83">
        <v>0</v>
      </c>
      <c r="AA330" s="33">
        <f>AC329*(((1+Dashboard!$C$20)^(1/30))-1)</f>
        <v>319.01742105686668</v>
      </c>
      <c r="AB330" s="84">
        <v>0</v>
      </c>
      <c r="AC330" s="18">
        <f t="shared" si="83"/>
        <v>696351.79297522944</v>
      </c>
      <c r="AD330" s="47">
        <f t="shared" si="76"/>
        <v>0</v>
      </c>
      <c r="AF330" s="83">
        <v>0</v>
      </c>
      <c r="AG330" s="33">
        <f>AI329*(((1+Dashboard!$C$21)^(1/30))-1)</f>
        <v>60.406167595574125</v>
      </c>
      <c r="AH330" s="84">
        <v>0</v>
      </c>
      <c r="AI330" s="29">
        <f t="shared" si="84"/>
        <v>118091.19432796462</v>
      </c>
      <c r="AJ330" s="45">
        <f t="shared" si="77"/>
        <v>0</v>
      </c>
      <c r="AL330" s="83">
        <v>0</v>
      </c>
      <c r="AM330" s="22">
        <v>0</v>
      </c>
      <c r="AN330" s="45">
        <f t="shared" si="78"/>
        <v>0</v>
      </c>
    </row>
    <row r="331" spans="2:40" x14ac:dyDescent="0.25">
      <c r="B331" s="53">
        <f>B330*(((1+Dashboard!$C$20)^(1/30)))</f>
        <v>1161118.261022842</v>
      </c>
      <c r="C331" s="1">
        <v>327</v>
      </c>
      <c r="D331" s="51">
        <f t="shared" si="79"/>
        <v>46500</v>
      </c>
      <c r="E331" s="7">
        <f t="shared" si="80"/>
        <v>9</v>
      </c>
      <c r="F331" s="31">
        <f>E331*Dashboard!$I$3</f>
        <v>15102</v>
      </c>
      <c r="G331" s="18">
        <f>E314*Dashboard!$I$4</f>
        <v>15750</v>
      </c>
      <c r="H331" s="48"/>
      <c r="I331" s="7">
        <f t="shared" si="81"/>
        <v>9</v>
      </c>
      <c r="J331" s="31">
        <f>I331*Dashboard!$I$3</f>
        <v>15102</v>
      </c>
      <c r="K331" s="29">
        <f>I312*Dashboard!$I$4</f>
        <v>15750</v>
      </c>
      <c r="L331" s="48"/>
      <c r="M331" s="7">
        <f t="shared" si="82"/>
        <v>12</v>
      </c>
      <c r="N331" s="31">
        <f>M331*Dashboard!$I$3</f>
        <v>20136</v>
      </c>
      <c r="O331" s="18">
        <f>M310*Dashboard!$I$4</f>
        <v>21000</v>
      </c>
      <c r="P331" s="48"/>
      <c r="Q331" s="32">
        <f t="shared" si="71"/>
        <v>30</v>
      </c>
      <c r="R331" s="31">
        <f t="shared" si="72"/>
        <v>50340</v>
      </c>
      <c r="S331" s="31">
        <f t="shared" si="73"/>
        <v>52500</v>
      </c>
      <c r="T331" s="31">
        <f t="shared" si="74"/>
        <v>2160</v>
      </c>
      <c r="U331" s="31">
        <f>U330-R331+S331+V331-Custos!D331+Z330+AF330+AL330-AB330-AH330-AM330</f>
        <v>212569.97156229831</v>
      </c>
      <c r="V331" s="31">
        <f>U330*(((1+Dashboard!$C$17)^(1/30))-1)</f>
        <v>79.690715468735618</v>
      </c>
      <c r="W331" s="29">
        <f t="shared" si="75"/>
        <v>262909.97156229831</v>
      </c>
      <c r="X331" s="45">
        <f>-R331+S331-Custos!D331</f>
        <v>656.59999999999991</v>
      </c>
      <c r="Z331" s="83">
        <v>0</v>
      </c>
      <c r="AA331" s="33">
        <f>AC330*(((1+Dashboard!$C$20)^(1/30))-1)</f>
        <v>319.16363847436793</v>
      </c>
      <c r="AB331" s="84">
        <v>0</v>
      </c>
      <c r="AC331" s="18">
        <f t="shared" si="83"/>
        <v>696670.95661370386</v>
      </c>
      <c r="AD331" s="47">
        <f t="shared" si="76"/>
        <v>0</v>
      </c>
      <c r="AF331" s="83">
        <v>0</v>
      </c>
      <c r="AG331" s="33">
        <f>AI330*(((1+Dashboard!$C$21)^(1/30))-1)</f>
        <v>60.437082453811172</v>
      </c>
      <c r="AH331" s="84">
        <v>0</v>
      </c>
      <c r="AI331" s="29">
        <f t="shared" si="84"/>
        <v>118151.63141041843</v>
      </c>
      <c r="AJ331" s="45">
        <f t="shared" si="77"/>
        <v>0</v>
      </c>
      <c r="AL331" s="83">
        <v>0</v>
      </c>
      <c r="AM331" s="22">
        <v>0</v>
      </c>
      <c r="AN331" s="45">
        <f t="shared" si="78"/>
        <v>0</v>
      </c>
    </row>
    <row r="332" spans="2:40" x14ac:dyDescent="0.25">
      <c r="B332" s="53">
        <f>B331*(((1+Dashboard!$C$20)^(1/30)))</f>
        <v>1161650.4442276899</v>
      </c>
      <c r="C332" s="1">
        <v>328</v>
      </c>
      <c r="D332" s="51">
        <f t="shared" si="79"/>
        <v>46501</v>
      </c>
      <c r="E332" s="7">
        <f t="shared" si="80"/>
        <v>9</v>
      </c>
      <c r="F332" s="31">
        <f>E332*Dashboard!$I$3</f>
        <v>15102</v>
      </c>
      <c r="G332" s="18">
        <f>E315*Dashboard!$I$4</f>
        <v>15750</v>
      </c>
      <c r="H332" s="48"/>
      <c r="I332" s="7">
        <f t="shared" si="81"/>
        <v>9</v>
      </c>
      <c r="J332" s="31">
        <f>I332*Dashboard!$I$3</f>
        <v>15102</v>
      </c>
      <c r="K332" s="29">
        <f>I313*Dashboard!$I$4</f>
        <v>15750</v>
      </c>
      <c r="L332" s="48"/>
      <c r="M332" s="7">
        <f t="shared" si="82"/>
        <v>12</v>
      </c>
      <c r="N332" s="31">
        <f>M332*Dashboard!$I$3</f>
        <v>20136</v>
      </c>
      <c r="O332" s="18">
        <f>M311*Dashboard!$I$4</f>
        <v>21000</v>
      </c>
      <c r="P332" s="48"/>
      <c r="Q332" s="32">
        <f t="shared" si="71"/>
        <v>30</v>
      </c>
      <c r="R332" s="31">
        <f t="shared" si="72"/>
        <v>50340</v>
      </c>
      <c r="S332" s="31">
        <f t="shared" si="73"/>
        <v>52500</v>
      </c>
      <c r="T332" s="31">
        <f t="shared" si="74"/>
        <v>2160</v>
      </c>
      <c r="U332" s="31">
        <f>U331-R332+S332+V332-Custos!D332+Z331+AF331+AL331-AB331-AH331-AM331</f>
        <v>213306.53926645778</v>
      </c>
      <c r="V332" s="31">
        <f>U331*(((1+Dashboard!$C$17)^(1/30))-1)</f>
        <v>79.967704159458108</v>
      </c>
      <c r="W332" s="29">
        <f t="shared" si="75"/>
        <v>263646.53926645778</v>
      </c>
      <c r="X332" s="45">
        <f>-R332+S332-Custos!D332</f>
        <v>656.59999999999991</v>
      </c>
      <c r="Z332" s="83">
        <v>0</v>
      </c>
      <c r="AA332" s="33">
        <f>AC331*(((1+Dashboard!$C$20)^(1/30))-1)</f>
        <v>319.30992290868954</v>
      </c>
      <c r="AB332" s="84">
        <v>0</v>
      </c>
      <c r="AC332" s="18">
        <f t="shared" si="83"/>
        <v>696990.26653661253</v>
      </c>
      <c r="AD332" s="47">
        <f t="shared" si="76"/>
        <v>0</v>
      </c>
      <c r="AF332" s="83">
        <v>0</v>
      </c>
      <c r="AG332" s="33">
        <f>AI331*(((1+Dashboard!$C$21)^(1/30))-1)</f>
        <v>60.468013133751491</v>
      </c>
      <c r="AH332" s="84">
        <v>0</v>
      </c>
      <c r="AI332" s="29">
        <f t="shared" si="84"/>
        <v>118212.09942355218</v>
      </c>
      <c r="AJ332" s="45">
        <f t="shared" si="77"/>
        <v>0</v>
      </c>
      <c r="AL332" s="83">
        <v>0</v>
      </c>
      <c r="AM332" s="22">
        <v>0</v>
      </c>
      <c r="AN332" s="45">
        <f t="shared" si="78"/>
        <v>0</v>
      </c>
    </row>
    <row r="333" spans="2:40" x14ac:dyDescent="0.25">
      <c r="B333" s="53">
        <f>B332*(((1+Dashboard!$C$20)^(1/30)))</f>
        <v>1162182.8713516742</v>
      </c>
      <c r="C333" s="1">
        <v>329</v>
      </c>
      <c r="D333" s="51">
        <f t="shared" si="79"/>
        <v>46502</v>
      </c>
      <c r="E333" s="7">
        <f t="shared" si="80"/>
        <v>9</v>
      </c>
      <c r="F333" s="31">
        <f>E333*Dashboard!$I$3</f>
        <v>15102</v>
      </c>
      <c r="G333" s="18">
        <f>E316*Dashboard!$I$4</f>
        <v>15750</v>
      </c>
      <c r="H333" s="48"/>
      <c r="I333" s="7">
        <f t="shared" si="81"/>
        <v>9</v>
      </c>
      <c r="J333" s="31">
        <f>I333*Dashboard!$I$3</f>
        <v>15102</v>
      </c>
      <c r="K333" s="29">
        <f>I314*Dashboard!$I$4</f>
        <v>15750</v>
      </c>
      <c r="L333" s="48"/>
      <c r="M333" s="7">
        <f t="shared" si="82"/>
        <v>12</v>
      </c>
      <c r="N333" s="31">
        <f>M333*Dashboard!$I$3</f>
        <v>20136</v>
      </c>
      <c r="O333" s="18">
        <f>M312*Dashboard!$I$4</f>
        <v>21000</v>
      </c>
      <c r="P333" s="48"/>
      <c r="Q333" s="32">
        <f t="shared" si="71"/>
        <v>30</v>
      </c>
      <c r="R333" s="31">
        <f t="shared" si="72"/>
        <v>50340</v>
      </c>
      <c r="S333" s="31">
        <f t="shared" si="73"/>
        <v>52500</v>
      </c>
      <c r="T333" s="31">
        <f t="shared" si="74"/>
        <v>2160</v>
      </c>
      <c r="U333" s="31">
        <f>U332-R333+S333+V333-Custos!D333+Z332+AF332+AL332-AB332-AH332-AM332</f>
        <v>214043.38406350964</v>
      </c>
      <c r="V333" s="31">
        <f>U332*(((1+Dashboard!$C$17)^(1/30))-1)</f>
        <v>80.244797051867778</v>
      </c>
      <c r="W333" s="29">
        <f t="shared" si="75"/>
        <v>264383.38406350964</v>
      </c>
      <c r="X333" s="45">
        <f>-R333+S333-Custos!D333</f>
        <v>656.59999999999991</v>
      </c>
      <c r="Z333" s="83">
        <v>0</v>
      </c>
      <c r="AA333" s="33">
        <f>AC332*(((1+Dashboard!$C$20)^(1/30))-1)</f>
        <v>319.45627439054766</v>
      </c>
      <c r="AB333" s="84">
        <v>0</v>
      </c>
      <c r="AC333" s="18">
        <f t="shared" si="83"/>
        <v>697309.7228110031</v>
      </c>
      <c r="AD333" s="47">
        <f t="shared" si="76"/>
        <v>0</v>
      </c>
      <c r="AF333" s="83">
        <v>0</v>
      </c>
      <c r="AG333" s="33">
        <f>AI332*(((1+Dashboard!$C$21)^(1/30))-1)</f>
        <v>60.498959643492377</v>
      </c>
      <c r="AH333" s="84">
        <v>0</v>
      </c>
      <c r="AI333" s="29">
        <f t="shared" si="84"/>
        <v>118272.59838319567</v>
      </c>
      <c r="AJ333" s="45">
        <f t="shared" si="77"/>
        <v>0</v>
      </c>
      <c r="AL333" s="83">
        <v>0</v>
      </c>
      <c r="AM333" s="22">
        <v>0</v>
      </c>
      <c r="AN333" s="45">
        <f t="shared" si="78"/>
        <v>0</v>
      </c>
    </row>
    <row r="334" spans="2:40" x14ac:dyDescent="0.25">
      <c r="B334" s="53">
        <f>B333*(((1+Dashboard!$C$20)^(1/30)))</f>
        <v>1162715.5425065919</v>
      </c>
      <c r="C334" s="1">
        <v>330</v>
      </c>
      <c r="D334" s="51">
        <f t="shared" si="79"/>
        <v>46503</v>
      </c>
      <c r="E334" s="7">
        <f t="shared" si="80"/>
        <v>9</v>
      </c>
      <c r="F334" s="31">
        <f>E334*Dashboard!$I$3</f>
        <v>15102</v>
      </c>
      <c r="G334" s="18">
        <f>E317*Dashboard!$I$4</f>
        <v>15750</v>
      </c>
      <c r="H334" s="48"/>
      <c r="I334" s="7">
        <f t="shared" si="81"/>
        <v>9</v>
      </c>
      <c r="J334" s="31">
        <f>I334*Dashboard!$I$3</f>
        <v>15102</v>
      </c>
      <c r="K334" s="29">
        <f>I315*Dashboard!$I$4</f>
        <v>15750</v>
      </c>
      <c r="L334" s="48"/>
      <c r="M334" s="7">
        <f t="shared" si="82"/>
        <v>12</v>
      </c>
      <c r="N334" s="31">
        <f>M334*Dashboard!$I$3</f>
        <v>20136</v>
      </c>
      <c r="O334" s="18">
        <f>M313*Dashboard!$I$4</f>
        <v>21000</v>
      </c>
      <c r="P334" s="48"/>
      <c r="Q334" s="32">
        <f t="shared" si="71"/>
        <v>30</v>
      </c>
      <c r="R334" s="31">
        <f t="shared" si="72"/>
        <v>50340</v>
      </c>
      <c r="S334" s="31">
        <f t="shared" si="73"/>
        <v>52500</v>
      </c>
      <c r="T334" s="31">
        <f t="shared" si="74"/>
        <v>2160</v>
      </c>
      <c r="U334" s="31">
        <f>U333-R334+S334+V334-Custos!D334+Z333+AF333+AL333-AB333-AH333-AM333</f>
        <v>214780.50605769482</v>
      </c>
      <c r="V334" s="31">
        <f>U333*(((1+Dashboard!$C$17)^(1/30))-1)</f>
        <v>80.521994185164701</v>
      </c>
      <c r="W334" s="29">
        <f t="shared" si="75"/>
        <v>265120.50605769479</v>
      </c>
      <c r="X334" s="45">
        <f>-R334+S334-Custos!D334</f>
        <v>656.59999999999991</v>
      </c>
      <c r="Z334" s="83">
        <v>0</v>
      </c>
      <c r="AA334" s="33">
        <f>AC333*(((1+Dashboard!$C$20)^(1/30))-1)</f>
        <v>319.60269295067275</v>
      </c>
      <c r="AB334" s="84">
        <v>0</v>
      </c>
      <c r="AC334" s="18">
        <f t="shared" si="83"/>
        <v>697629.32550395373</v>
      </c>
      <c r="AD334" s="47">
        <f t="shared" si="76"/>
        <v>0</v>
      </c>
      <c r="AF334" s="83">
        <v>0</v>
      </c>
      <c r="AG334" s="33">
        <f>AI333*(((1+Dashboard!$C$21)^(1/30))-1)</f>
        <v>60.52992199113524</v>
      </c>
      <c r="AH334" s="84">
        <v>0</v>
      </c>
      <c r="AI334" s="29">
        <f t="shared" si="84"/>
        <v>118333.12830518681</v>
      </c>
      <c r="AJ334" s="45">
        <f t="shared" si="77"/>
        <v>0</v>
      </c>
      <c r="AL334" s="83">
        <v>0</v>
      </c>
      <c r="AM334" s="22">
        <v>0</v>
      </c>
      <c r="AN334" s="45">
        <f t="shared" si="78"/>
        <v>0</v>
      </c>
    </row>
    <row r="335" spans="2:40" x14ac:dyDescent="0.25">
      <c r="B335" s="53">
        <f>B334*(((1+Dashboard!$C$20)^(1/30)))</f>
        <v>1163248.4578042915</v>
      </c>
      <c r="C335" s="1">
        <v>331</v>
      </c>
      <c r="D335" s="51">
        <f t="shared" si="79"/>
        <v>46504</v>
      </c>
      <c r="E335" s="7">
        <f t="shared" si="80"/>
        <v>9</v>
      </c>
      <c r="F335" s="31">
        <f>E335*Dashboard!$I$3</f>
        <v>15102</v>
      </c>
      <c r="G335" s="18">
        <f>E318*Dashboard!$I$4</f>
        <v>15750</v>
      </c>
      <c r="H335" s="48"/>
      <c r="I335" s="7">
        <f t="shared" si="81"/>
        <v>9</v>
      </c>
      <c r="J335" s="31">
        <f>I335*Dashboard!$I$3</f>
        <v>15102</v>
      </c>
      <c r="K335" s="29">
        <f>I316*Dashboard!$I$4</f>
        <v>15750</v>
      </c>
      <c r="L335" s="48"/>
      <c r="M335" s="7">
        <f t="shared" si="82"/>
        <v>12</v>
      </c>
      <c r="N335" s="31">
        <f>M335*Dashboard!$I$3</f>
        <v>20136</v>
      </c>
      <c r="O335" s="18">
        <f>M314*Dashboard!$I$4</f>
        <v>21000</v>
      </c>
      <c r="P335" s="48"/>
      <c r="Q335" s="32">
        <f t="shared" si="71"/>
        <v>30</v>
      </c>
      <c r="R335" s="31">
        <f t="shared" si="72"/>
        <v>50340</v>
      </c>
      <c r="S335" s="31">
        <f t="shared" si="73"/>
        <v>52500</v>
      </c>
      <c r="T335" s="31">
        <f t="shared" si="74"/>
        <v>2160</v>
      </c>
      <c r="U335" s="31">
        <f>U334-R335+S335+V335-Custos!D335+Z334+AF334+AL334-AB334-AH334-AM334</f>
        <v>215517.90535329338</v>
      </c>
      <c r="V335" s="31">
        <f>U334*(((1+Dashboard!$C$17)^(1/30))-1)</f>
        <v>80.799295598563788</v>
      </c>
      <c r="W335" s="29">
        <f t="shared" si="75"/>
        <v>265857.9053532934</v>
      </c>
      <c r="X335" s="45">
        <f>-R335+S335-Custos!D335</f>
        <v>656.59999999999991</v>
      </c>
      <c r="Z335" s="83">
        <v>0</v>
      </c>
      <c r="AA335" s="33">
        <f>AC334*(((1+Dashboard!$C$20)^(1/30))-1)</f>
        <v>319.74917861980919</v>
      </c>
      <c r="AB335" s="84">
        <v>0</v>
      </c>
      <c r="AC335" s="18">
        <f t="shared" si="83"/>
        <v>697949.07468257356</v>
      </c>
      <c r="AD335" s="47">
        <f t="shared" si="76"/>
        <v>0</v>
      </c>
      <c r="AF335" s="83">
        <v>0</v>
      </c>
      <c r="AG335" s="33">
        <f>AI334*(((1+Dashboard!$C$21)^(1/30))-1)</f>
        <v>60.560900184785659</v>
      </c>
      <c r="AH335" s="84">
        <v>0</v>
      </c>
      <c r="AI335" s="29">
        <f t="shared" si="84"/>
        <v>118393.6892053716</v>
      </c>
      <c r="AJ335" s="45">
        <f t="shared" si="77"/>
        <v>0</v>
      </c>
      <c r="AL335" s="83">
        <v>0</v>
      </c>
      <c r="AM335" s="22">
        <v>0</v>
      </c>
      <c r="AN335" s="45">
        <f t="shared" si="78"/>
        <v>0</v>
      </c>
    </row>
    <row r="336" spans="2:40" x14ac:dyDescent="0.25">
      <c r="B336" s="53">
        <f>B335*(((1+Dashboard!$C$20)^(1/30)))</f>
        <v>1163781.6173566727</v>
      </c>
      <c r="C336" s="1">
        <v>332</v>
      </c>
      <c r="D336" s="51">
        <f t="shared" si="79"/>
        <v>46505</v>
      </c>
      <c r="E336" s="7">
        <f t="shared" si="80"/>
        <v>9</v>
      </c>
      <c r="F336" s="31">
        <f>E336*Dashboard!$I$3</f>
        <v>15102</v>
      </c>
      <c r="G336" s="18">
        <f>E319*Dashboard!$I$4</f>
        <v>15750</v>
      </c>
      <c r="H336" s="48"/>
      <c r="I336" s="7">
        <f t="shared" si="81"/>
        <v>9</v>
      </c>
      <c r="J336" s="31">
        <f>I336*Dashboard!$I$3</f>
        <v>15102</v>
      </c>
      <c r="K336" s="29">
        <f>I317*Dashboard!$I$4</f>
        <v>15750</v>
      </c>
      <c r="L336" s="48"/>
      <c r="M336" s="7">
        <f t="shared" si="82"/>
        <v>12</v>
      </c>
      <c r="N336" s="31">
        <f>M336*Dashboard!$I$3</f>
        <v>20136</v>
      </c>
      <c r="O336" s="18">
        <f>M315*Dashboard!$I$4</f>
        <v>21000</v>
      </c>
      <c r="P336" s="48"/>
      <c r="Q336" s="32">
        <f t="shared" si="71"/>
        <v>30</v>
      </c>
      <c r="R336" s="31">
        <f t="shared" si="72"/>
        <v>50340</v>
      </c>
      <c r="S336" s="31">
        <f t="shared" si="73"/>
        <v>52500</v>
      </c>
      <c r="T336" s="31">
        <f t="shared" si="74"/>
        <v>2160</v>
      </c>
      <c r="U336" s="31">
        <f>U335-R336+S336+V336-Custos!D336+Z335+AF335+AL335-AB335-AH335-AM335</f>
        <v>216255.58205462468</v>
      </c>
      <c r="V336" s="31">
        <f>U335*(((1+Dashboard!$C$17)^(1/30))-1)</f>
        <v>81.076701331294657</v>
      </c>
      <c r="W336" s="29">
        <f t="shared" si="75"/>
        <v>266595.58205462468</v>
      </c>
      <c r="X336" s="45">
        <f>-R336+S336-Custos!D336</f>
        <v>656.59999999999991</v>
      </c>
      <c r="Z336" s="83">
        <v>0</v>
      </c>
      <c r="AA336" s="33">
        <f>AC335*(((1+Dashboard!$C$20)^(1/30))-1)</f>
        <v>319.89573142871558</v>
      </c>
      <c r="AB336" s="84">
        <v>0</v>
      </c>
      <c r="AC336" s="18">
        <f t="shared" si="83"/>
        <v>698268.97041400231</v>
      </c>
      <c r="AD336" s="47">
        <f t="shared" si="76"/>
        <v>0</v>
      </c>
      <c r="AF336" s="83">
        <v>0</v>
      </c>
      <c r="AG336" s="33">
        <f>AI335*(((1+Dashboard!$C$21)^(1/30))-1)</f>
        <v>60.591894232553358</v>
      </c>
      <c r="AH336" s="84">
        <v>0</v>
      </c>
      <c r="AI336" s="29">
        <f t="shared" si="84"/>
        <v>118454.28109960415</v>
      </c>
      <c r="AJ336" s="45">
        <f t="shared" si="77"/>
        <v>0</v>
      </c>
      <c r="AL336" s="83">
        <v>0</v>
      </c>
      <c r="AM336" s="22">
        <v>0</v>
      </c>
      <c r="AN336" s="45">
        <f t="shared" si="78"/>
        <v>0</v>
      </c>
    </row>
    <row r="337" spans="2:40" x14ac:dyDescent="0.25">
      <c r="B337" s="53">
        <f>B336*(((1+Dashboard!$C$20)^(1/30)))</f>
        <v>1164315.0212756863</v>
      </c>
      <c r="C337" s="1">
        <v>333</v>
      </c>
      <c r="D337" s="51">
        <f t="shared" si="79"/>
        <v>46506</v>
      </c>
      <c r="E337" s="7">
        <f t="shared" si="80"/>
        <v>9</v>
      </c>
      <c r="F337" s="31">
        <f>E337*Dashboard!$I$3</f>
        <v>15102</v>
      </c>
      <c r="G337" s="18">
        <f>E320*Dashboard!$I$4</f>
        <v>15750</v>
      </c>
      <c r="H337" s="48"/>
      <c r="I337" s="7">
        <f t="shared" si="81"/>
        <v>9</v>
      </c>
      <c r="J337" s="31">
        <f>I337*Dashboard!$I$3</f>
        <v>15102</v>
      </c>
      <c r="K337" s="29">
        <f>I318*Dashboard!$I$4</f>
        <v>15750</v>
      </c>
      <c r="L337" s="48"/>
      <c r="M337" s="7">
        <f t="shared" si="82"/>
        <v>12</v>
      </c>
      <c r="N337" s="31">
        <f>M337*Dashboard!$I$3</f>
        <v>20136</v>
      </c>
      <c r="O337" s="18">
        <f>M316*Dashboard!$I$4</f>
        <v>21000</v>
      </c>
      <c r="P337" s="48"/>
      <c r="Q337" s="32">
        <f t="shared" si="71"/>
        <v>30</v>
      </c>
      <c r="R337" s="31">
        <f t="shared" si="72"/>
        <v>50340</v>
      </c>
      <c r="S337" s="31">
        <f t="shared" si="73"/>
        <v>52500</v>
      </c>
      <c r="T337" s="31">
        <f t="shared" si="74"/>
        <v>2160</v>
      </c>
      <c r="U337" s="31">
        <f>U336-R337+S337+V337-Custos!D337+Z336+AF336+AL336-AB336-AH336-AM336</f>
        <v>216993.5362660473</v>
      </c>
      <c r="V337" s="31">
        <f>U336*(((1+Dashboard!$C$17)^(1/30))-1)</f>
        <v>81.354211422601693</v>
      </c>
      <c r="W337" s="29">
        <f t="shared" si="75"/>
        <v>267333.53626604727</v>
      </c>
      <c r="X337" s="45">
        <f>-R337+S337-Custos!D337</f>
        <v>656.59999999999991</v>
      </c>
      <c r="Z337" s="83">
        <v>0</v>
      </c>
      <c r="AA337" s="33">
        <f>AC336*(((1+Dashboard!$C$20)^(1/30))-1)</f>
        <v>320.04235140816445</v>
      </c>
      <c r="AB337" s="84">
        <v>0</v>
      </c>
      <c r="AC337" s="18">
        <f t="shared" si="83"/>
        <v>698589.01276541047</v>
      </c>
      <c r="AD337" s="47">
        <f t="shared" si="76"/>
        <v>0</v>
      </c>
      <c r="AF337" s="83">
        <v>0</v>
      </c>
      <c r="AG337" s="33">
        <f>AI336*(((1+Dashboard!$C$21)^(1/30))-1)</f>
        <v>60.622904142552194</v>
      </c>
      <c r="AH337" s="84">
        <v>0</v>
      </c>
      <c r="AI337" s="29">
        <f t="shared" si="84"/>
        <v>118514.90400374671</v>
      </c>
      <c r="AJ337" s="45">
        <f t="shared" si="77"/>
        <v>0</v>
      </c>
      <c r="AL337" s="83">
        <v>0</v>
      </c>
      <c r="AM337" s="22">
        <v>0</v>
      </c>
      <c r="AN337" s="45">
        <f t="shared" si="78"/>
        <v>0</v>
      </c>
    </row>
    <row r="338" spans="2:40" x14ac:dyDescent="0.25">
      <c r="B338" s="53">
        <f>B337*(((1+Dashboard!$C$20)^(1/30)))</f>
        <v>1164848.6696733346</v>
      </c>
      <c r="C338" s="1">
        <v>334</v>
      </c>
      <c r="D338" s="51">
        <f t="shared" si="79"/>
        <v>46507</v>
      </c>
      <c r="E338" s="7">
        <f t="shared" si="80"/>
        <v>9</v>
      </c>
      <c r="F338" s="31">
        <f>E338*Dashboard!$I$3</f>
        <v>15102</v>
      </c>
      <c r="G338" s="18">
        <f>E321*Dashboard!$I$4</f>
        <v>15750</v>
      </c>
      <c r="H338" s="48"/>
      <c r="I338" s="7">
        <f t="shared" si="81"/>
        <v>9</v>
      </c>
      <c r="J338" s="31">
        <f>I338*Dashboard!$I$3</f>
        <v>15102</v>
      </c>
      <c r="K338" s="29">
        <f>I319*Dashboard!$I$4</f>
        <v>15750</v>
      </c>
      <c r="L338" s="48"/>
      <c r="M338" s="7">
        <f t="shared" si="82"/>
        <v>12</v>
      </c>
      <c r="N338" s="31">
        <f>M338*Dashboard!$I$3</f>
        <v>20136</v>
      </c>
      <c r="O338" s="18">
        <f>M317*Dashboard!$I$4</f>
        <v>21000</v>
      </c>
      <c r="P338" s="48"/>
      <c r="Q338" s="32">
        <f t="shared" si="71"/>
        <v>30</v>
      </c>
      <c r="R338" s="31">
        <f t="shared" si="72"/>
        <v>50340</v>
      </c>
      <c r="S338" s="31">
        <f t="shared" si="73"/>
        <v>52500</v>
      </c>
      <c r="T338" s="31">
        <f t="shared" si="74"/>
        <v>2160</v>
      </c>
      <c r="U338" s="31">
        <f>U337-R338+S338+V338-Custos!D338+Z337+AF337+AL337-AB337-AH337-AM337</f>
        <v>217731.76809195906</v>
      </c>
      <c r="V338" s="31">
        <f>U337*(((1+Dashboard!$C$17)^(1/30))-1)</f>
        <v>81.631825911744045</v>
      </c>
      <c r="W338" s="29">
        <f t="shared" si="75"/>
        <v>268071.76809195906</v>
      </c>
      <c r="X338" s="45">
        <f>-R338+S338-Custos!D338</f>
        <v>656.59999999999991</v>
      </c>
      <c r="Z338" s="83">
        <v>0</v>
      </c>
      <c r="AA338" s="33">
        <f>AC337*(((1+Dashboard!$C$20)^(1/30))-1)</f>
        <v>320.18903858894254</v>
      </c>
      <c r="AB338" s="84">
        <v>0</v>
      </c>
      <c r="AC338" s="18">
        <f t="shared" si="83"/>
        <v>698909.20180399937</v>
      </c>
      <c r="AD338" s="47">
        <f t="shared" si="76"/>
        <v>0</v>
      </c>
      <c r="AF338" s="83">
        <v>0</v>
      </c>
      <c r="AG338" s="33">
        <f>AI337*(((1+Dashboard!$C$21)^(1/30))-1)</f>
        <v>60.653929922900197</v>
      </c>
      <c r="AH338" s="84">
        <v>0</v>
      </c>
      <c r="AI338" s="29">
        <f t="shared" si="84"/>
        <v>118575.55793366961</v>
      </c>
      <c r="AJ338" s="45">
        <f t="shared" si="77"/>
        <v>0</v>
      </c>
      <c r="AL338" s="83">
        <v>0</v>
      </c>
      <c r="AM338" s="22">
        <v>0</v>
      </c>
      <c r="AN338" s="45">
        <f t="shared" si="78"/>
        <v>0</v>
      </c>
    </row>
    <row r="339" spans="2:40" x14ac:dyDescent="0.25">
      <c r="B339" s="53">
        <f>B338*(((1+Dashboard!$C$20)^(1/30)))</f>
        <v>1165382.5626616711</v>
      </c>
      <c r="C339" s="1">
        <v>335</v>
      </c>
      <c r="D339" s="51">
        <f t="shared" si="79"/>
        <v>46508</v>
      </c>
      <c r="E339" s="7">
        <f t="shared" si="80"/>
        <v>9</v>
      </c>
      <c r="F339" s="31">
        <f>E339*Dashboard!$I$3</f>
        <v>15102</v>
      </c>
      <c r="G339" s="18">
        <f>E322*Dashboard!$I$4</f>
        <v>15750</v>
      </c>
      <c r="H339" s="48"/>
      <c r="I339" s="7">
        <f t="shared" si="81"/>
        <v>9</v>
      </c>
      <c r="J339" s="31">
        <f>I339*Dashboard!$I$3</f>
        <v>15102</v>
      </c>
      <c r="K339" s="29">
        <f>I320*Dashboard!$I$4</f>
        <v>15750</v>
      </c>
      <c r="L339" s="48"/>
      <c r="M339" s="7">
        <f t="shared" si="82"/>
        <v>12</v>
      </c>
      <c r="N339" s="31">
        <f>M339*Dashboard!$I$3</f>
        <v>20136</v>
      </c>
      <c r="O339" s="18">
        <f>M318*Dashboard!$I$4</f>
        <v>21000</v>
      </c>
      <c r="P339" s="48"/>
      <c r="Q339" s="32">
        <f t="shared" si="71"/>
        <v>30</v>
      </c>
      <c r="R339" s="31">
        <f t="shared" si="72"/>
        <v>50340</v>
      </c>
      <c r="S339" s="31">
        <f t="shared" si="73"/>
        <v>52500</v>
      </c>
      <c r="T339" s="31">
        <f t="shared" si="74"/>
        <v>2160</v>
      </c>
      <c r="U339" s="31">
        <f>U338-R339+S339+V339-Custos!D339+Z338+AF338+AL338-AB338-AH338-AM338</f>
        <v>218470.27763679705</v>
      </c>
      <c r="V339" s="31">
        <f>U338*(((1+Dashboard!$C$17)^(1/30))-1)</f>
        <v>81.909544837995611</v>
      </c>
      <c r="W339" s="29">
        <f t="shared" si="75"/>
        <v>268810.27763679705</v>
      </c>
      <c r="X339" s="45">
        <f>-R339+S339-Custos!D339</f>
        <v>656.59999999999991</v>
      </c>
      <c r="Z339" s="83">
        <v>0</v>
      </c>
      <c r="AA339" s="33">
        <f>AC338*(((1+Dashboard!$C$20)^(1/30))-1)</f>
        <v>320.33579300185073</v>
      </c>
      <c r="AB339" s="84">
        <v>0</v>
      </c>
      <c r="AC339" s="18">
        <f t="shared" si="83"/>
        <v>699229.53759700118</v>
      </c>
      <c r="AD339" s="47">
        <f t="shared" si="76"/>
        <v>0</v>
      </c>
      <c r="AF339" s="83">
        <v>0</v>
      </c>
      <c r="AG339" s="33">
        <f>AI338*(((1+Dashboard!$C$21)^(1/30))-1)</f>
        <v>60.684971581719552</v>
      </c>
      <c r="AH339" s="84">
        <v>0</v>
      </c>
      <c r="AI339" s="29">
        <f t="shared" si="84"/>
        <v>118636.24290525133</v>
      </c>
      <c r="AJ339" s="45">
        <f t="shared" si="77"/>
        <v>0</v>
      </c>
      <c r="AL339" s="83">
        <v>0</v>
      </c>
      <c r="AM339" s="22">
        <v>0</v>
      </c>
      <c r="AN339" s="45">
        <f t="shared" si="78"/>
        <v>0</v>
      </c>
    </row>
    <row r="340" spans="2:40" x14ac:dyDescent="0.25">
      <c r="B340" s="53">
        <f>B339*(((1+Dashboard!$C$20)^(1/30)))</f>
        <v>1165916.7003528005</v>
      </c>
      <c r="C340" s="1">
        <v>336</v>
      </c>
      <c r="D340" s="51">
        <f t="shared" si="79"/>
        <v>46509</v>
      </c>
      <c r="E340" s="7">
        <f t="shared" si="80"/>
        <v>9</v>
      </c>
      <c r="F340" s="31">
        <f>E340*Dashboard!$I$3</f>
        <v>15102</v>
      </c>
      <c r="G340" s="18">
        <f>E323*Dashboard!$I$4</f>
        <v>15750</v>
      </c>
      <c r="H340" s="48"/>
      <c r="I340" s="7">
        <f t="shared" si="81"/>
        <v>9</v>
      </c>
      <c r="J340" s="31">
        <f>I340*Dashboard!$I$3</f>
        <v>15102</v>
      </c>
      <c r="K340" s="29">
        <f>I321*Dashboard!$I$4</f>
        <v>15750</v>
      </c>
      <c r="L340" s="48"/>
      <c r="M340" s="7">
        <f t="shared" si="82"/>
        <v>12</v>
      </c>
      <c r="N340" s="31">
        <f>M340*Dashboard!$I$3</f>
        <v>20136</v>
      </c>
      <c r="O340" s="18">
        <f>M319*Dashboard!$I$4</f>
        <v>21000</v>
      </c>
      <c r="P340" s="48"/>
      <c r="Q340" s="32">
        <f t="shared" si="71"/>
        <v>30</v>
      </c>
      <c r="R340" s="31">
        <f t="shared" si="72"/>
        <v>50340</v>
      </c>
      <c r="S340" s="31">
        <f t="shared" si="73"/>
        <v>52500</v>
      </c>
      <c r="T340" s="31">
        <f t="shared" si="74"/>
        <v>2160</v>
      </c>
      <c r="U340" s="31">
        <f>U339-R340+S340+V340-Custos!D340+Z339+AF339+AL339-AB339-AH339-AM339</f>
        <v>219209.0650050377</v>
      </c>
      <c r="V340" s="31">
        <f>U339*(((1+Dashboard!$C$17)^(1/30))-1)</f>
        <v>82.187368240645085</v>
      </c>
      <c r="W340" s="29">
        <f t="shared" si="75"/>
        <v>269549.0650050377</v>
      </c>
      <c r="X340" s="45">
        <f>-R340+S340-Custos!D340</f>
        <v>656.59999999999991</v>
      </c>
      <c r="Z340" s="83">
        <v>0</v>
      </c>
      <c r="AA340" s="33">
        <f>AC339*(((1+Dashboard!$C$20)^(1/30))-1)</f>
        <v>320.48261467770396</v>
      </c>
      <c r="AB340" s="84">
        <v>0</v>
      </c>
      <c r="AC340" s="18">
        <f t="shared" si="83"/>
        <v>699550.02021167893</v>
      </c>
      <c r="AD340" s="47">
        <f t="shared" si="76"/>
        <v>0</v>
      </c>
      <c r="AF340" s="83">
        <v>0</v>
      </c>
      <c r="AG340" s="33">
        <f>AI339*(((1+Dashboard!$C$21)^(1/30))-1)</f>
        <v>60.716029127136579</v>
      </c>
      <c r="AH340" s="84">
        <v>0</v>
      </c>
      <c r="AI340" s="29">
        <f t="shared" si="84"/>
        <v>118696.95893437848</v>
      </c>
      <c r="AJ340" s="45">
        <f t="shared" si="77"/>
        <v>0</v>
      </c>
      <c r="AL340" s="83">
        <v>0</v>
      </c>
      <c r="AM340" s="22">
        <v>0</v>
      </c>
      <c r="AN340" s="45">
        <f t="shared" si="78"/>
        <v>0</v>
      </c>
    </row>
    <row r="341" spans="2:40" x14ac:dyDescent="0.25">
      <c r="B341" s="53">
        <f>B340*(((1+Dashboard!$C$20)^(1/30)))</f>
        <v>1166451.0828588794</v>
      </c>
      <c r="C341" s="1">
        <v>337</v>
      </c>
      <c r="D341" s="51">
        <f t="shared" si="79"/>
        <v>46510</v>
      </c>
      <c r="E341" s="7">
        <f t="shared" si="80"/>
        <v>9</v>
      </c>
      <c r="F341" s="31">
        <f>E341*Dashboard!$I$3</f>
        <v>15102</v>
      </c>
      <c r="G341" s="18">
        <f>E324*Dashboard!$I$4</f>
        <v>15750</v>
      </c>
      <c r="H341" s="48"/>
      <c r="I341" s="7">
        <f t="shared" si="81"/>
        <v>9</v>
      </c>
      <c r="J341" s="31">
        <f>I341*Dashboard!$I$3</f>
        <v>15102</v>
      </c>
      <c r="K341" s="29">
        <f>I322*Dashboard!$I$4</f>
        <v>15750</v>
      </c>
      <c r="L341" s="48"/>
      <c r="M341" s="7">
        <f t="shared" si="82"/>
        <v>12</v>
      </c>
      <c r="N341" s="31">
        <f>M341*Dashboard!$I$3</f>
        <v>20136</v>
      </c>
      <c r="O341" s="18">
        <f>M320*Dashboard!$I$4</f>
        <v>21000</v>
      </c>
      <c r="P341" s="48"/>
      <c r="Q341" s="32">
        <f t="shared" si="71"/>
        <v>30</v>
      </c>
      <c r="R341" s="31">
        <f t="shared" si="72"/>
        <v>50340</v>
      </c>
      <c r="S341" s="31">
        <f t="shared" si="73"/>
        <v>52500</v>
      </c>
      <c r="T341" s="31">
        <f t="shared" si="74"/>
        <v>2160</v>
      </c>
      <c r="U341" s="31">
        <f>U340-R341+S341+V341-Custos!D341+Z340+AF340+AL340-AB340-AH340-AM340</f>
        <v>219948.13030119671</v>
      </c>
      <c r="V341" s="31">
        <f>U340*(((1+Dashboard!$C$17)^(1/30))-1)</f>
        <v>82.465296158995955</v>
      </c>
      <c r="W341" s="29">
        <f t="shared" si="75"/>
        <v>270288.13030119671</v>
      </c>
      <c r="X341" s="45">
        <f>-R341+S341-Custos!D341</f>
        <v>656.59999999999991</v>
      </c>
      <c r="Z341" s="83">
        <v>0</v>
      </c>
      <c r="AA341" s="33">
        <f>AC340*(((1+Dashboard!$C$20)^(1/30))-1)</f>
        <v>320.62950364733138</v>
      </c>
      <c r="AB341" s="84">
        <v>0</v>
      </c>
      <c r="AC341" s="18">
        <f t="shared" si="83"/>
        <v>699870.64971532626</v>
      </c>
      <c r="AD341" s="47">
        <f t="shared" si="76"/>
        <v>0</v>
      </c>
      <c r="AF341" s="83">
        <v>0</v>
      </c>
      <c r="AG341" s="33">
        <f>AI340*(((1+Dashboard!$C$21)^(1/30))-1)</f>
        <v>60.747102567281779</v>
      </c>
      <c r="AH341" s="84">
        <v>0</v>
      </c>
      <c r="AI341" s="29">
        <f t="shared" si="84"/>
        <v>118757.70603694576</v>
      </c>
      <c r="AJ341" s="45">
        <f t="shared" si="77"/>
        <v>0</v>
      </c>
      <c r="AL341" s="83">
        <v>0</v>
      </c>
      <c r="AM341" s="22">
        <v>0</v>
      </c>
      <c r="AN341" s="45">
        <f t="shared" si="78"/>
        <v>0</v>
      </c>
    </row>
    <row r="342" spans="2:40" x14ac:dyDescent="0.25">
      <c r="B342" s="53">
        <f>B341*(((1+Dashboard!$C$20)^(1/30)))</f>
        <v>1166985.7102921153</v>
      </c>
      <c r="C342" s="1">
        <v>338</v>
      </c>
      <c r="D342" s="51">
        <f t="shared" si="79"/>
        <v>46511</v>
      </c>
      <c r="E342" s="7">
        <f t="shared" si="80"/>
        <v>9</v>
      </c>
      <c r="F342" s="31">
        <f>E342*Dashboard!$I$3</f>
        <v>15102</v>
      </c>
      <c r="G342" s="18">
        <f>E325*Dashboard!$I$4</f>
        <v>15750</v>
      </c>
      <c r="H342" s="48"/>
      <c r="I342" s="7">
        <f t="shared" si="81"/>
        <v>9</v>
      </c>
      <c r="J342" s="31">
        <f>I342*Dashboard!$I$3</f>
        <v>15102</v>
      </c>
      <c r="K342" s="29">
        <f>I323*Dashboard!$I$4</f>
        <v>15750</v>
      </c>
      <c r="L342" s="48"/>
      <c r="M342" s="7">
        <f t="shared" si="82"/>
        <v>12</v>
      </c>
      <c r="N342" s="31">
        <f>M342*Dashboard!$I$3</f>
        <v>20136</v>
      </c>
      <c r="O342" s="18">
        <f>M321*Dashboard!$I$4</f>
        <v>21000</v>
      </c>
      <c r="P342" s="48"/>
      <c r="Q342" s="32">
        <f t="shared" si="71"/>
        <v>30</v>
      </c>
      <c r="R342" s="31">
        <f t="shared" si="72"/>
        <v>50340</v>
      </c>
      <c r="S342" s="31">
        <f t="shared" si="73"/>
        <v>52500</v>
      </c>
      <c r="T342" s="31">
        <f t="shared" si="74"/>
        <v>2160</v>
      </c>
      <c r="U342" s="31">
        <f>U341-R342+S342+V342-Custos!D342+Z341+AF341+AL341-AB341-AH341-AM341</f>
        <v>220687.4736298291</v>
      </c>
      <c r="V342" s="31">
        <f>U341*(((1+Dashboard!$C$17)^(1/30))-1)</f>
        <v>82.74332863236647</v>
      </c>
      <c r="W342" s="29">
        <f t="shared" si="75"/>
        <v>271027.47362982912</v>
      </c>
      <c r="X342" s="45">
        <f>-R342+S342-Custos!D342</f>
        <v>656.59999999999991</v>
      </c>
      <c r="Z342" s="83">
        <v>0</v>
      </c>
      <c r="AA342" s="33">
        <f>AC341*(((1+Dashboard!$C$20)^(1/30))-1)</f>
        <v>320.77645994157609</v>
      </c>
      <c r="AB342" s="84">
        <v>0</v>
      </c>
      <c r="AC342" s="18">
        <f t="shared" si="83"/>
        <v>700191.42617526778</v>
      </c>
      <c r="AD342" s="47">
        <f t="shared" si="76"/>
        <v>0</v>
      </c>
      <c r="AF342" s="83">
        <v>0</v>
      </c>
      <c r="AG342" s="33">
        <f>AI341*(((1+Dashboard!$C$21)^(1/30))-1)</f>
        <v>60.778191910289799</v>
      </c>
      <c r="AH342" s="84">
        <v>0</v>
      </c>
      <c r="AI342" s="29">
        <f t="shared" si="84"/>
        <v>118818.48422885605</v>
      </c>
      <c r="AJ342" s="45">
        <f t="shared" si="77"/>
        <v>0</v>
      </c>
      <c r="AL342" s="83">
        <v>0</v>
      </c>
      <c r="AM342" s="22">
        <v>0</v>
      </c>
      <c r="AN342" s="45">
        <f t="shared" si="78"/>
        <v>0</v>
      </c>
    </row>
    <row r="343" spans="2:40" x14ac:dyDescent="0.25">
      <c r="B343" s="53">
        <f>B342*(((1+Dashboard!$C$20)^(1/30)))</f>
        <v>1167520.5827647676</v>
      </c>
      <c r="C343" s="1">
        <v>339</v>
      </c>
      <c r="D343" s="51">
        <f t="shared" si="79"/>
        <v>46512</v>
      </c>
      <c r="E343" s="7">
        <f t="shared" si="80"/>
        <v>9</v>
      </c>
      <c r="F343" s="31">
        <f>E343*Dashboard!$I$3</f>
        <v>15102</v>
      </c>
      <c r="G343" s="18">
        <f>E326*Dashboard!$I$4</f>
        <v>15750</v>
      </c>
      <c r="H343" s="48"/>
      <c r="I343" s="7">
        <f t="shared" si="81"/>
        <v>9</v>
      </c>
      <c r="J343" s="31">
        <f>I343*Dashboard!$I$3</f>
        <v>15102</v>
      </c>
      <c r="K343" s="29">
        <f>I324*Dashboard!$I$4</f>
        <v>15750</v>
      </c>
      <c r="L343" s="48"/>
      <c r="M343" s="7">
        <f t="shared" si="82"/>
        <v>12</v>
      </c>
      <c r="N343" s="31">
        <f>M343*Dashboard!$I$3</f>
        <v>20136</v>
      </c>
      <c r="O343" s="18">
        <f>M322*Dashboard!$I$4</f>
        <v>21000</v>
      </c>
      <c r="P343" s="48"/>
      <c r="Q343" s="32">
        <f t="shared" si="71"/>
        <v>30</v>
      </c>
      <c r="R343" s="31">
        <f t="shared" si="72"/>
        <v>50340</v>
      </c>
      <c r="S343" s="31">
        <f t="shared" si="73"/>
        <v>52500</v>
      </c>
      <c r="T343" s="31">
        <f t="shared" si="74"/>
        <v>2160</v>
      </c>
      <c r="U343" s="31">
        <f>U342-R343+S343+V343-Custos!D343+Z342+AF342+AL342-AB342-AH342-AM342</f>
        <v>221427.09509552919</v>
      </c>
      <c r="V343" s="31">
        <f>U342*(((1+Dashboard!$C$17)^(1/30))-1)</f>
        <v>83.021465700089678</v>
      </c>
      <c r="W343" s="29">
        <f t="shared" si="75"/>
        <v>271767.09509552922</v>
      </c>
      <c r="X343" s="45">
        <f>-R343+S343-Custos!D343</f>
        <v>656.59999999999991</v>
      </c>
      <c r="Z343" s="83">
        <v>0</v>
      </c>
      <c r="AA343" s="33">
        <f>AC342*(((1+Dashboard!$C$20)^(1/30))-1)</f>
        <v>320.92348359129551</v>
      </c>
      <c r="AB343" s="84">
        <v>0</v>
      </c>
      <c r="AC343" s="18">
        <f t="shared" si="83"/>
        <v>700512.34965885908</v>
      </c>
      <c r="AD343" s="47">
        <f t="shared" si="76"/>
        <v>0</v>
      </c>
      <c r="AF343" s="83">
        <v>0</v>
      </c>
      <c r="AG343" s="33">
        <f>AI342*(((1+Dashboard!$C$21)^(1/30))-1)</f>
        <v>60.809297164299458</v>
      </c>
      <c r="AH343" s="84">
        <v>0</v>
      </c>
      <c r="AI343" s="29">
        <f t="shared" si="84"/>
        <v>118879.29352602035</v>
      </c>
      <c r="AJ343" s="45">
        <f t="shared" si="77"/>
        <v>0</v>
      </c>
      <c r="AL343" s="83">
        <v>0</v>
      </c>
      <c r="AM343" s="22">
        <v>0</v>
      </c>
      <c r="AN343" s="45">
        <f t="shared" si="78"/>
        <v>0</v>
      </c>
    </row>
    <row r="344" spans="2:40" x14ac:dyDescent="0.25">
      <c r="B344" s="53">
        <f>B343*(((1+Dashboard!$C$20)^(1/30)))</f>
        <v>1168055.7003891466</v>
      </c>
      <c r="C344" s="1">
        <v>340</v>
      </c>
      <c r="D344" s="51">
        <f t="shared" si="79"/>
        <v>46513</v>
      </c>
      <c r="E344" s="7">
        <f t="shared" si="80"/>
        <v>9</v>
      </c>
      <c r="F344" s="31">
        <f>E344*Dashboard!$I$3</f>
        <v>15102</v>
      </c>
      <c r="G344" s="18">
        <f>E327*Dashboard!$I$4</f>
        <v>15750</v>
      </c>
      <c r="H344" s="48"/>
      <c r="I344" s="7">
        <f t="shared" si="81"/>
        <v>9</v>
      </c>
      <c r="J344" s="31">
        <f>I344*Dashboard!$I$3</f>
        <v>15102</v>
      </c>
      <c r="K344" s="29">
        <f>I325*Dashboard!$I$4</f>
        <v>15750</v>
      </c>
      <c r="L344" s="48"/>
      <c r="M344" s="7">
        <f t="shared" si="82"/>
        <v>12</v>
      </c>
      <c r="N344" s="31">
        <f>M344*Dashboard!$I$3</f>
        <v>20136</v>
      </c>
      <c r="O344" s="18">
        <f>M323*Dashboard!$I$4</f>
        <v>21000</v>
      </c>
      <c r="P344" s="48"/>
      <c r="Q344" s="32">
        <f t="shared" si="71"/>
        <v>30</v>
      </c>
      <c r="R344" s="31">
        <f t="shared" si="72"/>
        <v>50340</v>
      </c>
      <c r="S344" s="31">
        <f t="shared" si="73"/>
        <v>52500</v>
      </c>
      <c r="T344" s="31">
        <f t="shared" si="74"/>
        <v>2160</v>
      </c>
      <c r="U344" s="31">
        <f>U343-R344+S344+V344-Custos!D344+Z343+AF343+AL343-AB343-AH343-AM343</f>
        <v>222166.99480293071</v>
      </c>
      <c r="V344" s="31">
        <f>U343*(((1+Dashboard!$C$17)^(1/30))-1)</f>
        <v>83.299707401513416</v>
      </c>
      <c r="W344" s="29">
        <f t="shared" si="75"/>
        <v>272506.99480293074</v>
      </c>
      <c r="X344" s="45">
        <f>-R344+S344-Custos!D344</f>
        <v>656.59999999999991</v>
      </c>
      <c r="Z344" s="83">
        <v>0</v>
      </c>
      <c r="AA344" s="33">
        <f>AC343*(((1+Dashboard!$C$20)^(1/30))-1)</f>
        <v>321.07057462736111</v>
      </c>
      <c r="AB344" s="84">
        <v>0</v>
      </c>
      <c r="AC344" s="18">
        <f t="shared" si="83"/>
        <v>700833.42023348645</v>
      </c>
      <c r="AD344" s="47">
        <f t="shared" si="76"/>
        <v>0</v>
      </c>
      <c r="AF344" s="83">
        <v>0</v>
      </c>
      <c r="AG344" s="33">
        <f>AI343*(((1+Dashboard!$C$21)^(1/30))-1)</f>
        <v>60.840418337453748</v>
      </c>
      <c r="AH344" s="84">
        <v>0</v>
      </c>
      <c r="AI344" s="29">
        <f t="shared" si="84"/>
        <v>118940.1339443578</v>
      </c>
      <c r="AJ344" s="45">
        <f t="shared" si="77"/>
        <v>0</v>
      </c>
      <c r="AL344" s="83">
        <v>0</v>
      </c>
      <c r="AM344" s="22">
        <v>0</v>
      </c>
      <c r="AN344" s="45">
        <f t="shared" si="78"/>
        <v>0</v>
      </c>
    </row>
    <row r="345" spans="2:40" x14ac:dyDescent="0.25">
      <c r="B345" s="53">
        <f>B344*(((1+Dashboard!$C$20)^(1/30)))</f>
        <v>1168591.0632776143</v>
      </c>
      <c r="C345" s="1">
        <v>341</v>
      </c>
      <c r="D345" s="51">
        <f t="shared" si="79"/>
        <v>46514</v>
      </c>
      <c r="E345" s="7">
        <f t="shared" si="80"/>
        <v>9</v>
      </c>
      <c r="F345" s="31">
        <f>E345*Dashboard!$I$3</f>
        <v>15102</v>
      </c>
      <c r="G345" s="18">
        <f>E328*Dashboard!$I$4</f>
        <v>15750</v>
      </c>
      <c r="H345" s="48"/>
      <c r="I345" s="7">
        <f t="shared" si="81"/>
        <v>9</v>
      </c>
      <c r="J345" s="31">
        <f>I345*Dashboard!$I$3</f>
        <v>15102</v>
      </c>
      <c r="K345" s="29">
        <f>I326*Dashboard!$I$4</f>
        <v>15750</v>
      </c>
      <c r="L345" s="48"/>
      <c r="M345" s="7">
        <f t="shared" si="82"/>
        <v>12</v>
      </c>
      <c r="N345" s="31">
        <f>M345*Dashboard!$I$3</f>
        <v>20136</v>
      </c>
      <c r="O345" s="18">
        <f>M324*Dashboard!$I$4</f>
        <v>21000</v>
      </c>
      <c r="P345" s="48"/>
      <c r="Q345" s="32">
        <f t="shared" si="71"/>
        <v>30</v>
      </c>
      <c r="R345" s="31">
        <f t="shared" si="72"/>
        <v>50340</v>
      </c>
      <c r="S345" s="31">
        <f t="shared" si="73"/>
        <v>52500</v>
      </c>
      <c r="T345" s="31">
        <f t="shared" si="74"/>
        <v>2160</v>
      </c>
      <c r="U345" s="31">
        <f>U344-R345+S345+V345-Custos!D345+Z344+AF344+AL344-AB344-AH344-AM344</f>
        <v>222907.17285670672</v>
      </c>
      <c r="V345" s="31">
        <f>U344*(((1+Dashboard!$C$17)^(1/30))-1)</f>
        <v>83.578053776000345</v>
      </c>
      <c r="W345" s="29">
        <f t="shared" si="75"/>
        <v>273247.17285670672</v>
      </c>
      <c r="X345" s="45">
        <f>-R345+S345-Custos!D345</f>
        <v>656.59999999999991</v>
      </c>
      <c r="Z345" s="83">
        <v>0</v>
      </c>
      <c r="AA345" s="33">
        <f>AC344*(((1+Dashboard!$C$20)^(1/30))-1)</f>
        <v>321.21773308065855</v>
      </c>
      <c r="AB345" s="84">
        <v>0</v>
      </c>
      <c r="AC345" s="18">
        <f t="shared" si="83"/>
        <v>701154.63796656707</v>
      </c>
      <c r="AD345" s="47">
        <f t="shared" si="76"/>
        <v>0</v>
      </c>
      <c r="AF345" s="83">
        <v>0</v>
      </c>
      <c r="AG345" s="33">
        <f>AI344*(((1+Dashboard!$C$21)^(1/30))-1)</f>
        <v>60.871555437899808</v>
      </c>
      <c r="AH345" s="84">
        <v>0</v>
      </c>
      <c r="AI345" s="29">
        <f t="shared" si="84"/>
        <v>119001.0054997957</v>
      </c>
      <c r="AJ345" s="45">
        <f t="shared" si="77"/>
        <v>0</v>
      </c>
      <c r="AL345" s="83">
        <v>0</v>
      </c>
      <c r="AM345" s="22">
        <v>0</v>
      </c>
      <c r="AN345" s="45">
        <f t="shared" si="78"/>
        <v>0</v>
      </c>
    </row>
    <row r="346" spans="2:40" x14ac:dyDescent="0.25">
      <c r="B346" s="53">
        <f>B345*(((1+Dashboard!$C$20)^(1/30)))</f>
        <v>1169126.6715425844</v>
      </c>
      <c r="C346" s="1">
        <v>342</v>
      </c>
      <c r="D346" s="51">
        <f t="shared" si="79"/>
        <v>46515</v>
      </c>
      <c r="E346" s="7">
        <f t="shared" si="80"/>
        <v>9</v>
      </c>
      <c r="F346" s="31">
        <f>E346*Dashboard!$I$3</f>
        <v>15102</v>
      </c>
      <c r="G346" s="18">
        <f>E329*Dashboard!$I$4</f>
        <v>15750</v>
      </c>
      <c r="H346" s="48"/>
      <c r="I346" s="7">
        <f t="shared" si="81"/>
        <v>9</v>
      </c>
      <c r="J346" s="31">
        <f>I346*Dashboard!$I$3</f>
        <v>15102</v>
      </c>
      <c r="K346" s="29">
        <f>I327*Dashboard!$I$4</f>
        <v>15750</v>
      </c>
      <c r="L346" s="48"/>
      <c r="M346" s="7">
        <f t="shared" si="82"/>
        <v>12</v>
      </c>
      <c r="N346" s="31">
        <f>M346*Dashboard!$I$3</f>
        <v>20136</v>
      </c>
      <c r="O346" s="18">
        <f>M325*Dashboard!$I$4</f>
        <v>21000</v>
      </c>
      <c r="P346" s="48"/>
      <c r="Q346" s="32">
        <f t="shared" si="71"/>
        <v>30</v>
      </c>
      <c r="R346" s="31">
        <f t="shared" si="72"/>
        <v>50340</v>
      </c>
      <c r="S346" s="31">
        <f t="shared" si="73"/>
        <v>52500</v>
      </c>
      <c r="T346" s="31">
        <f t="shared" si="74"/>
        <v>2160</v>
      </c>
      <c r="U346" s="31">
        <f>U345-R346+S346+V346-Custos!D346+Z345+AF345+AL345-AB345-AH345-AM345</f>
        <v>223647.62936156965</v>
      </c>
      <c r="V346" s="31">
        <f>U345*(((1+Dashboard!$C$17)^(1/30))-1)</f>
        <v>83.856504862927906</v>
      </c>
      <c r="W346" s="29">
        <f t="shared" si="75"/>
        <v>273987.62936156965</v>
      </c>
      <c r="X346" s="45">
        <f>-R346+S346-Custos!D346</f>
        <v>656.59999999999991</v>
      </c>
      <c r="Z346" s="83">
        <v>0</v>
      </c>
      <c r="AA346" s="33">
        <f>AC345*(((1+Dashboard!$C$20)^(1/30))-1)</f>
        <v>321.36495898208756</v>
      </c>
      <c r="AB346" s="84">
        <v>0</v>
      </c>
      <c r="AC346" s="18">
        <f t="shared" si="83"/>
        <v>701476.00292554917</v>
      </c>
      <c r="AD346" s="47">
        <f t="shared" si="76"/>
        <v>0</v>
      </c>
      <c r="AF346" s="83">
        <v>0</v>
      </c>
      <c r="AG346" s="33">
        <f>AI345*(((1+Dashboard!$C$21)^(1/30))-1)</f>
        <v>60.902708473788962</v>
      </c>
      <c r="AH346" s="84">
        <v>0</v>
      </c>
      <c r="AI346" s="29">
        <f t="shared" si="84"/>
        <v>119061.90820826949</v>
      </c>
      <c r="AJ346" s="45">
        <f t="shared" si="77"/>
        <v>0</v>
      </c>
      <c r="AL346" s="83">
        <v>0</v>
      </c>
      <c r="AM346" s="22">
        <v>0</v>
      </c>
      <c r="AN346" s="45">
        <f t="shared" si="78"/>
        <v>0</v>
      </c>
    </row>
    <row r="347" spans="2:40" x14ac:dyDescent="0.25">
      <c r="B347" s="53">
        <f>B346*(((1+Dashboard!$C$20)^(1/30)))</f>
        <v>1169662.5252965221</v>
      </c>
      <c r="C347" s="1">
        <v>343</v>
      </c>
      <c r="D347" s="51">
        <f t="shared" si="79"/>
        <v>46516</v>
      </c>
      <c r="E347" s="7">
        <f t="shared" si="80"/>
        <v>9</v>
      </c>
      <c r="F347" s="31">
        <f>E347*Dashboard!$I$3</f>
        <v>15102</v>
      </c>
      <c r="G347" s="18">
        <f>E330*Dashboard!$I$4</f>
        <v>15750</v>
      </c>
      <c r="H347" s="48"/>
      <c r="I347" s="7">
        <f t="shared" si="81"/>
        <v>9</v>
      </c>
      <c r="J347" s="31">
        <f>I347*Dashboard!$I$3</f>
        <v>15102</v>
      </c>
      <c r="K347" s="29">
        <f>I328*Dashboard!$I$4</f>
        <v>15750</v>
      </c>
      <c r="L347" s="48"/>
      <c r="M347" s="7">
        <f t="shared" si="82"/>
        <v>12</v>
      </c>
      <c r="N347" s="31">
        <f>M347*Dashboard!$I$3</f>
        <v>20136</v>
      </c>
      <c r="O347" s="18">
        <f>M326*Dashboard!$I$4</f>
        <v>21000</v>
      </c>
      <c r="P347" s="48"/>
      <c r="Q347" s="32">
        <f t="shared" si="71"/>
        <v>30</v>
      </c>
      <c r="R347" s="31">
        <f t="shared" si="72"/>
        <v>50340</v>
      </c>
      <c r="S347" s="31">
        <f t="shared" si="73"/>
        <v>52500</v>
      </c>
      <c r="T347" s="31">
        <f t="shared" si="74"/>
        <v>2160</v>
      </c>
      <c r="U347" s="31">
        <f>U346-R347+S347+V347-Custos!D347+Z346+AF346+AL346-AB346-AH346-AM346</f>
        <v>224388.36442227135</v>
      </c>
      <c r="V347" s="31">
        <f>U346*(((1+Dashboard!$C$17)^(1/30))-1)</f>
        <v>84.135060701688374</v>
      </c>
      <c r="W347" s="29">
        <f t="shared" si="75"/>
        <v>274728.36442227138</v>
      </c>
      <c r="X347" s="45">
        <f>-R347+S347-Custos!D347</f>
        <v>656.59999999999991</v>
      </c>
      <c r="Z347" s="83">
        <v>0</v>
      </c>
      <c r="AA347" s="33">
        <f>AC346*(((1+Dashboard!$C$20)^(1/30))-1)</f>
        <v>321.51225236256221</v>
      </c>
      <c r="AB347" s="84">
        <v>0</v>
      </c>
      <c r="AC347" s="18">
        <f t="shared" si="83"/>
        <v>701797.51517791173</v>
      </c>
      <c r="AD347" s="47">
        <f t="shared" si="76"/>
        <v>0</v>
      </c>
      <c r="AF347" s="83">
        <v>0</v>
      </c>
      <c r="AG347" s="33">
        <f>AI346*(((1+Dashboard!$C$21)^(1/30))-1)</f>
        <v>60.9338774532767</v>
      </c>
      <c r="AH347" s="84">
        <v>0</v>
      </c>
      <c r="AI347" s="29">
        <f t="shared" si="84"/>
        <v>119122.84208572278</v>
      </c>
      <c r="AJ347" s="45">
        <f t="shared" si="77"/>
        <v>0</v>
      </c>
      <c r="AL347" s="83">
        <v>0</v>
      </c>
      <c r="AM347" s="22">
        <v>0</v>
      </c>
      <c r="AN347" s="45">
        <f t="shared" si="78"/>
        <v>0</v>
      </c>
    </row>
    <row r="348" spans="2:40" x14ac:dyDescent="0.25">
      <c r="B348" s="53">
        <f>B347*(((1+Dashboard!$C$20)^(1/30)))</f>
        <v>1170198.6246519438</v>
      </c>
      <c r="C348" s="1">
        <v>344</v>
      </c>
      <c r="D348" s="51">
        <f t="shared" si="79"/>
        <v>46517</v>
      </c>
      <c r="E348" s="7">
        <f t="shared" si="80"/>
        <v>9</v>
      </c>
      <c r="F348" s="31">
        <f>E348*Dashboard!$I$3</f>
        <v>15102</v>
      </c>
      <c r="G348" s="18">
        <f>E331*Dashboard!$I$4</f>
        <v>15750</v>
      </c>
      <c r="H348" s="48"/>
      <c r="I348" s="7">
        <f t="shared" si="81"/>
        <v>9</v>
      </c>
      <c r="J348" s="31">
        <f>I348*Dashboard!$I$3</f>
        <v>15102</v>
      </c>
      <c r="K348" s="29">
        <f>I329*Dashboard!$I$4</f>
        <v>15750</v>
      </c>
      <c r="L348" s="48"/>
      <c r="M348" s="7">
        <f t="shared" si="82"/>
        <v>12</v>
      </c>
      <c r="N348" s="31">
        <f>M348*Dashboard!$I$3</f>
        <v>20136</v>
      </c>
      <c r="O348" s="18">
        <f>M327*Dashboard!$I$4</f>
        <v>21000</v>
      </c>
      <c r="P348" s="48"/>
      <c r="Q348" s="32">
        <f t="shared" si="71"/>
        <v>30</v>
      </c>
      <c r="R348" s="31">
        <f t="shared" si="72"/>
        <v>50340</v>
      </c>
      <c r="S348" s="31">
        <f t="shared" si="73"/>
        <v>52500</v>
      </c>
      <c r="T348" s="31">
        <f t="shared" si="74"/>
        <v>2160</v>
      </c>
      <c r="U348" s="31">
        <f>U347-R348+S348+V348-Custos!D348+Z347+AF347+AL347-AB347-AH347-AM347</f>
        <v>225129.37814360304</v>
      </c>
      <c r="V348" s="31">
        <f>U347*(((1+Dashboard!$C$17)^(1/30))-1)</f>
        <v>84.413721331688848</v>
      </c>
      <c r="W348" s="29">
        <f t="shared" si="75"/>
        <v>275469.37814360304</v>
      </c>
      <c r="X348" s="45">
        <f>-R348+S348-Custos!D348</f>
        <v>656.59999999999991</v>
      </c>
      <c r="Z348" s="83">
        <v>0</v>
      </c>
      <c r="AA348" s="33">
        <f>AC347*(((1+Dashboard!$C$20)^(1/30))-1)</f>
        <v>321.65961325301055</v>
      </c>
      <c r="AB348" s="84">
        <v>0</v>
      </c>
      <c r="AC348" s="18">
        <f t="shared" si="83"/>
        <v>702119.1747911647</v>
      </c>
      <c r="AD348" s="47">
        <f t="shared" si="76"/>
        <v>0</v>
      </c>
      <c r="AF348" s="83">
        <v>0</v>
      </c>
      <c r="AG348" s="33">
        <f>AI347*(((1+Dashboard!$C$21)^(1/30))-1)</f>
        <v>60.965062384522689</v>
      </c>
      <c r="AH348" s="84">
        <v>0</v>
      </c>
      <c r="AI348" s="29">
        <f t="shared" si="84"/>
        <v>119183.8071481073</v>
      </c>
      <c r="AJ348" s="45">
        <f t="shared" si="77"/>
        <v>0</v>
      </c>
      <c r="AL348" s="83">
        <v>0</v>
      </c>
      <c r="AM348" s="22">
        <v>0</v>
      </c>
      <c r="AN348" s="45">
        <f t="shared" si="78"/>
        <v>0</v>
      </c>
    </row>
    <row r="349" spans="2:40" x14ac:dyDescent="0.25">
      <c r="B349" s="53">
        <f>B348*(((1+Dashboard!$C$20)^(1/30)))</f>
        <v>1170734.9697214179</v>
      </c>
      <c r="C349" s="1">
        <v>345</v>
      </c>
      <c r="D349" s="51">
        <f t="shared" si="79"/>
        <v>46518</v>
      </c>
      <c r="E349" s="7">
        <f t="shared" si="80"/>
        <v>9</v>
      </c>
      <c r="F349" s="31">
        <f>E349*Dashboard!$I$3</f>
        <v>15102</v>
      </c>
      <c r="G349" s="18">
        <f>E332*Dashboard!$I$4</f>
        <v>15750</v>
      </c>
      <c r="H349" s="48"/>
      <c r="I349" s="7">
        <f t="shared" si="81"/>
        <v>9</v>
      </c>
      <c r="J349" s="31">
        <f>I349*Dashboard!$I$3</f>
        <v>15102</v>
      </c>
      <c r="K349" s="29">
        <f>I330*Dashboard!$I$4</f>
        <v>15750</v>
      </c>
      <c r="L349" s="48"/>
      <c r="M349" s="7">
        <f t="shared" si="82"/>
        <v>12</v>
      </c>
      <c r="N349" s="31">
        <f>M349*Dashboard!$I$3</f>
        <v>20136</v>
      </c>
      <c r="O349" s="18">
        <f>M328*Dashboard!$I$4</f>
        <v>21000</v>
      </c>
      <c r="P349" s="48"/>
      <c r="Q349" s="32">
        <f t="shared" si="71"/>
        <v>30</v>
      </c>
      <c r="R349" s="31">
        <f t="shared" si="72"/>
        <v>50340</v>
      </c>
      <c r="S349" s="31">
        <f t="shared" si="73"/>
        <v>52500</v>
      </c>
      <c r="T349" s="31">
        <f t="shared" si="74"/>
        <v>2160</v>
      </c>
      <c r="U349" s="31">
        <f>U348-R349+S349+V349-Custos!D349+Z348+AF348+AL348-AB348-AH348-AM348</f>
        <v>225870.67063039538</v>
      </c>
      <c r="V349" s="31">
        <f>U348*(((1+Dashboard!$C$17)^(1/30))-1)</f>
        <v>84.692486792351218</v>
      </c>
      <c r="W349" s="29">
        <f t="shared" si="75"/>
        <v>276210.67063039541</v>
      </c>
      <c r="X349" s="45">
        <f>-R349+S349-Custos!D349</f>
        <v>656.59999999999991</v>
      </c>
      <c r="Z349" s="83">
        <v>0</v>
      </c>
      <c r="AA349" s="33">
        <f>AC348*(((1+Dashboard!$C$20)^(1/30))-1)</f>
        <v>321.80704168437484</v>
      </c>
      <c r="AB349" s="84">
        <v>0</v>
      </c>
      <c r="AC349" s="18">
        <f t="shared" si="83"/>
        <v>702440.98183284909</v>
      </c>
      <c r="AD349" s="47">
        <f t="shared" si="76"/>
        <v>0</v>
      </c>
      <c r="AF349" s="83">
        <v>0</v>
      </c>
      <c r="AG349" s="33">
        <f>AI348*(((1+Dashboard!$C$21)^(1/30))-1)</f>
        <v>60.996263275690765</v>
      </c>
      <c r="AH349" s="84">
        <v>0</v>
      </c>
      <c r="AI349" s="29">
        <f t="shared" si="84"/>
        <v>119244.80341138299</v>
      </c>
      <c r="AJ349" s="45">
        <f t="shared" si="77"/>
        <v>0</v>
      </c>
      <c r="AL349" s="83">
        <v>0</v>
      </c>
      <c r="AM349" s="22">
        <v>0</v>
      </c>
      <c r="AN349" s="45">
        <f t="shared" si="78"/>
        <v>0</v>
      </c>
    </row>
    <row r="350" spans="2:40" x14ac:dyDescent="0.25">
      <c r="B350" s="53">
        <f>B349*(((1+Dashboard!$C$20)^(1/30)))</f>
        <v>1171271.5606175638</v>
      </c>
      <c r="C350" s="1">
        <v>346</v>
      </c>
      <c r="D350" s="51">
        <f t="shared" si="79"/>
        <v>46519</v>
      </c>
      <c r="E350" s="7">
        <f t="shared" si="80"/>
        <v>9</v>
      </c>
      <c r="F350" s="31">
        <f>E350*Dashboard!$I$3</f>
        <v>15102</v>
      </c>
      <c r="G350" s="18">
        <f>E333*Dashboard!$I$4</f>
        <v>15750</v>
      </c>
      <c r="H350" s="48"/>
      <c r="I350" s="7">
        <f t="shared" si="81"/>
        <v>9</v>
      </c>
      <c r="J350" s="31">
        <f>I350*Dashboard!$I$3</f>
        <v>15102</v>
      </c>
      <c r="K350" s="29">
        <f>I331*Dashboard!$I$4</f>
        <v>15750</v>
      </c>
      <c r="L350" s="48"/>
      <c r="M350" s="7">
        <f t="shared" si="82"/>
        <v>12</v>
      </c>
      <c r="N350" s="31">
        <f>M350*Dashboard!$I$3</f>
        <v>20136</v>
      </c>
      <c r="O350" s="18">
        <f>M329*Dashboard!$I$4</f>
        <v>21000</v>
      </c>
      <c r="P350" s="48"/>
      <c r="Q350" s="32">
        <f t="shared" si="71"/>
        <v>30</v>
      </c>
      <c r="R350" s="31">
        <f t="shared" si="72"/>
        <v>50340</v>
      </c>
      <c r="S350" s="31">
        <f t="shared" si="73"/>
        <v>52500</v>
      </c>
      <c r="T350" s="31">
        <f t="shared" si="74"/>
        <v>2160</v>
      </c>
      <c r="U350" s="31">
        <f>U349-R350+S350+V350-Custos!D350+Z349+AF349+AL349-AB349-AH349-AM349</f>
        <v>226612.2419875185</v>
      </c>
      <c r="V350" s="31">
        <f>U349*(((1+Dashboard!$C$17)^(1/30))-1)</f>
        <v>84.971357123112242</v>
      </c>
      <c r="W350" s="29">
        <f t="shared" si="75"/>
        <v>276952.2419875185</v>
      </c>
      <c r="X350" s="45">
        <f>-R350+S350-Custos!D350</f>
        <v>656.59999999999991</v>
      </c>
      <c r="Z350" s="83">
        <v>0</v>
      </c>
      <c r="AA350" s="33">
        <f>AC349*(((1+Dashboard!$C$20)^(1/30))-1)</f>
        <v>321.95453768761172</v>
      </c>
      <c r="AB350" s="84">
        <v>0</v>
      </c>
      <c r="AC350" s="18">
        <f t="shared" si="83"/>
        <v>702762.93637053668</v>
      </c>
      <c r="AD350" s="47">
        <f t="shared" si="76"/>
        <v>0</v>
      </c>
      <c r="AF350" s="83">
        <v>0</v>
      </c>
      <c r="AG350" s="33">
        <f>AI349*(((1+Dashboard!$C$21)^(1/30))-1)</f>
        <v>61.027480134948959</v>
      </c>
      <c r="AH350" s="84">
        <v>0</v>
      </c>
      <c r="AI350" s="29">
        <f t="shared" si="84"/>
        <v>119305.83089151794</v>
      </c>
      <c r="AJ350" s="45">
        <f t="shared" si="77"/>
        <v>0</v>
      </c>
      <c r="AL350" s="83">
        <v>0</v>
      </c>
      <c r="AM350" s="22">
        <v>0</v>
      </c>
      <c r="AN350" s="45">
        <f t="shared" si="78"/>
        <v>0</v>
      </c>
    </row>
    <row r="351" spans="2:40" x14ac:dyDescent="0.25">
      <c r="B351" s="53">
        <f>B350*(((1+Dashboard!$C$20)^(1/30)))</f>
        <v>1171808.3974530532</v>
      </c>
      <c r="C351" s="1">
        <v>347</v>
      </c>
      <c r="D351" s="51">
        <f t="shared" si="79"/>
        <v>46520</v>
      </c>
      <c r="E351" s="7">
        <f t="shared" si="80"/>
        <v>9</v>
      </c>
      <c r="F351" s="31">
        <f>E351*Dashboard!$I$3</f>
        <v>15102</v>
      </c>
      <c r="G351" s="18">
        <f>E334*Dashboard!$I$4</f>
        <v>15750</v>
      </c>
      <c r="H351" s="48"/>
      <c r="I351" s="7">
        <f t="shared" si="81"/>
        <v>9</v>
      </c>
      <c r="J351" s="31">
        <f>I351*Dashboard!$I$3</f>
        <v>15102</v>
      </c>
      <c r="K351" s="29">
        <f>I332*Dashboard!$I$4</f>
        <v>15750</v>
      </c>
      <c r="L351" s="48"/>
      <c r="M351" s="7">
        <f t="shared" si="82"/>
        <v>12</v>
      </c>
      <c r="N351" s="31">
        <f>M351*Dashboard!$I$3</f>
        <v>20136</v>
      </c>
      <c r="O351" s="18">
        <f>M330*Dashboard!$I$4</f>
        <v>21000</v>
      </c>
      <c r="P351" s="48"/>
      <c r="Q351" s="32">
        <f t="shared" si="71"/>
        <v>30</v>
      </c>
      <c r="R351" s="31">
        <f t="shared" si="72"/>
        <v>50340</v>
      </c>
      <c r="S351" s="31">
        <f t="shared" si="73"/>
        <v>52500</v>
      </c>
      <c r="T351" s="31">
        <f t="shared" si="74"/>
        <v>2160</v>
      </c>
      <c r="U351" s="31">
        <f>U350-R351+S351+V351-Custos!D351+Z350+AF350+AL350-AB350-AH350-AM350</f>
        <v>227354.09231988192</v>
      </c>
      <c r="V351" s="31">
        <f>U350*(((1+Dashboard!$C$17)^(1/30))-1)</f>
        <v>85.250332363423496</v>
      </c>
      <c r="W351" s="29">
        <f t="shared" si="75"/>
        <v>277694.09231988189</v>
      </c>
      <c r="X351" s="45">
        <f>-R351+S351-Custos!D351</f>
        <v>656.59999999999991</v>
      </c>
      <c r="Z351" s="83">
        <v>0</v>
      </c>
      <c r="AA351" s="33">
        <f>AC350*(((1+Dashboard!$C$20)^(1/30))-1)</f>
        <v>322.1021012936917</v>
      </c>
      <c r="AB351" s="84">
        <v>0</v>
      </c>
      <c r="AC351" s="18">
        <f t="shared" si="83"/>
        <v>703085.03847183043</v>
      </c>
      <c r="AD351" s="47">
        <f t="shared" si="76"/>
        <v>0</v>
      </c>
      <c r="AF351" s="83">
        <v>0</v>
      </c>
      <c r="AG351" s="33">
        <f>AI350*(((1+Dashboard!$C$21)^(1/30))-1)</f>
        <v>61.05871297046945</v>
      </c>
      <c r="AH351" s="84">
        <v>0</v>
      </c>
      <c r="AI351" s="29">
        <f t="shared" si="84"/>
        <v>119366.8896044884</v>
      </c>
      <c r="AJ351" s="45">
        <f t="shared" si="77"/>
        <v>0</v>
      </c>
      <c r="AL351" s="83">
        <v>0</v>
      </c>
      <c r="AM351" s="22">
        <v>0</v>
      </c>
      <c r="AN351" s="45">
        <f t="shared" si="78"/>
        <v>0</v>
      </c>
    </row>
    <row r="352" spans="2:40" x14ac:dyDescent="0.25">
      <c r="B352" s="53">
        <f>B351*(((1+Dashboard!$C$20)^(1/30)))</f>
        <v>1172345.4803406091</v>
      </c>
      <c r="C352" s="1">
        <v>348</v>
      </c>
      <c r="D352" s="51">
        <f t="shared" si="79"/>
        <v>46521</v>
      </c>
      <c r="E352" s="7">
        <f t="shared" si="80"/>
        <v>9</v>
      </c>
      <c r="F352" s="31">
        <f>E352*Dashboard!$I$3</f>
        <v>15102</v>
      </c>
      <c r="G352" s="18">
        <f>E335*Dashboard!$I$4</f>
        <v>15750</v>
      </c>
      <c r="H352" s="48"/>
      <c r="I352" s="7">
        <f t="shared" si="81"/>
        <v>9</v>
      </c>
      <c r="J352" s="31">
        <f>I352*Dashboard!$I$3</f>
        <v>15102</v>
      </c>
      <c r="K352" s="29">
        <f>I333*Dashboard!$I$4</f>
        <v>15750</v>
      </c>
      <c r="L352" s="48"/>
      <c r="M352" s="7">
        <f t="shared" si="82"/>
        <v>12</v>
      </c>
      <c r="N352" s="31">
        <f>M352*Dashboard!$I$3</f>
        <v>20136</v>
      </c>
      <c r="O352" s="18">
        <f>M331*Dashboard!$I$4</f>
        <v>21000</v>
      </c>
      <c r="P352" s="48"/>
      <c r="Q352" s="32">
        <f t="shared" si="71"/>
        <v>30</v>
      </c>
      <c r="R352" s="31">
        <f t="shared" si="72"/>
        <v>50340</v>
      </c>
      <c r="S352" s="31">
        <f t="shared" si="73"/>
        <v>52500</v>
      </c>
      <c r="T352" s="31">
        <f t="shared" si="74"/>
        <v>2160</v>
      </c>
      <c r="U352" s="31">
        <f>U351-R352+S352+V352-Custos!D352+Z351+AF351+AL351-AB351-AH351-AM351</f>
        <v>228096.22173243467</v>
      </c>
      <c r="V352" s="31">
        <f>U351*(((1+Dashboard!$C$17)^(1/30))-1)</f>
        <v>85.52941255275141</v>
      </c>
      <c r="W352" s="29">
        <f t="shared" si="75"/>
        <v>278436.2217324347</v>
      </c>
      <c r="X352" s="45">
        <f>-R352+S352-Custos!D352</f>
        <v>656.59999999999991</v>
      </c>
      <c r="Z352" s="83">
        <v>0</v>
      </c>
      <c r="AA352" s="33">
        <f>AC351*(((1+Dashboard!$C$20)^(1/30))-1)</f>
        <v>322.2497325335998</v>
      </c>
      <c r="AB352" s="84">
        <v>0</v>
      </c>
      <c r="AC352" s="18">
        <f t="shared" si="83"/>
        <v>703407.28820436401</v>
      </c>
      <c r="AD352" s="47">
        <f t="shared" si="76"/>
        <v>0</v>
      </c>
      <c r="AF352" s="83">
        <v>0</v>
      </c>
      <c r="AG352" s="33">
        <f>AI351*(((1+Dashboard!$C$21)^(1/30))-1)</f>
        <v>61.089961790428632</v>
      </c>
      <c r="AH352" s="84">
        <v>0</v>
      </c>
      <c r="AI352" s="29">
        <f t="shared" si="84"/>
        <v>119427.97956627882</v>
      </c>
      <c r="AJ352" s="45">
        <f t="shared" si="77"/>
        <v>0</v>
      </c>
      <c r="AL352" s="83">
        <v>0</v>
      </c>
      <c r="AM352" s="22">
        <v>0</v>
      </c>
      <c r="AN352" s="45">
        <f t="shared" si="78"/>
        <v>0</v>
      </c>
    </row>
    <row r="353" spans="2:40" x14ac:dyDescent="0.25">
      <c r="B353" s="53">
        <f>B352*(((1+Dashboard!$C$20)^(1/30)))</f>
        <v>1172882.8093930064</v>
      </c>
      <c r="C353" s="1">
        <v>349</v>
      </c>
      <c r="D353" s="51">
        <f t="shared" si="79"/>
        <v>46522</v>
      </c>
      <c r="E353" s="7">
        <f t="shared" si="80"/>
        <v>9</v>
      </c>
      <c r="F353" s="31">
        <f>E353*Dashboard!$I$3</f>
        <v>15102</v>
      </c>
      <c r="G353" s="18">
        <f>E336*Dashboard!$I$4</f>
        <v>15750</v>
      </c>
      <c r="H353" s="48"/>
      <c r="I353" s="7">
        <f t="shared" si="81"/>
        <v>9</v>
      </c>
      <c r="J353" s="31">
        <f>I353*Dashboard!$I$3</f>
        <v>15102</v>
      </c>
      <c r="K353" s="29">
        <f>I334*Dashboard!$I$4</f>
        <v>15750</v>
      </c>
      <c r="L353" s="48"/>
      <c r="M353" s="7">
        <f t="shared" si="82"/>
        <v>12</v>
      </c>
      <c r="N353" s="31">
        <f>M353*Dashboard!$I$3</f>
        <v>20136</v>
      </c>
      <c r="O353" s="18">
        <f>M332*Dashboard!$I$4</f>
        <v>21000</v>
      </c>
      <c r="P353" s="48"/>
      <c r="Q353" s="32">
        <f t="shared" si="71"/>
        <v>30</v>
      </c>
      <c r="R353" s="31">
        <f t="shared" si="72"/>
        <v>50340</v>
      </c>
      <c r="S353" s="31">
        <f t="shared" si="73"/>
        <v>52500</v>
      </c>
      <c r="T353" s="31">
        <f t="shared" si="74"/>
        <v>2160</v>
      </c>
      <c r="U353" s="31">
        <f>U352-R353+S353+V353-Custos!D353+Z352+AF352+AL352-AB352-AH352-AM352</f>
        <v>228838.63033016527</v>
      </c>
      <c r="V353" s="31">
        <f>U352*(((1+Dashboard!$C$17)^(1/30))-1)</f>
        <v>85.808597730577233</v>
      </c>
      <c r="W353" s="29">
        <f t="shared" si="75"/>
        <v>279178.63033016527</v>
      </c>
      <c r="X353" s="45">
        <f>-R353+S353-Custos!D353</f>
        <v>656.59999999999991</v>
      </c>
      <c r="Z353" s="83">
        <v>0</v>
      </c>
      <c r="AA353" s="33">
        <f>AC352*(((1+Dashboard!$C$20)^(1/30))-1)</f>
        <v>322.39743143833499</v>
      </c>
      <c r="AB353" s="84">
        <v>0</v>
      </c>
      <c r="AC353" s="18">
        <f t="shared" si="83"/>
        <v>703729.68563580234</v>
      </c>
      <c r="AD353" s="47">
        <f t="shared" si="76"/>
        <v>0</v>
      </c>
      <c r="AF353" s="83">
        <v>0</v>
      </c>
      <c r="AG353" s="33">
        <f>AI352*(((1+Dashboard!$C$21)^(1/30))-1)</f>
        <v>61.121226603007074</v>
      </c>
      <c r="AH353" s="84">
        <v>0</v>
      </c>
      <c r="AI353" s="29">
        <f t="shared" si="84"/>
        <v>119489.10079288183</v>
      </c>
      <c r="AJ353" s="45">
        <f t="shared" si="77"/>
        <v>0</v>
      </c>
      <c r="AL353" s="83">
        <v>0</v>
      </c>
      <c r="AM353" s="22">
        <v>0</v>
      </c>
      <c r="AN353" s="45">
        <f t="shared" si="78"/>
        <v>0</v>
      </c>
    </row>
    <row r="354" spans="2:40" x14ac:dyDescent="0.25">
      <c r="B354" s="53">
        <f>B353*(((1+Dashboard!$C$20)^(1/30)))</f>
        <v>1173420.3847230712</v>
      </c>
      <c r="C354" s="1">
        <v>350</v>
      </c>
      <c r="D354" s="51">
        <f t="shared" si="79"/>
        <v>46523</v>
      </c>
      <c r="E354" s="7">
        <f t="shared" si="80"/>
        <v>9</v>
      </c>
      <c r="F354" s="31">
        <f>E354*Dashboard!$I$3</f>
        <v>15102</v>
      </c>
      <c r="G354" s="18">
        <f>E337*Dashboard!$I$4</f>
        <v>15750</v>
      </c>
      <c r="H354" s="48"/>
      <c r="I354" s="7">
        <f t="shared" si="81"/>
        <v>9</v>
      </c>
      <c r="J354" s="31">
        <f>I354*Dashboard!$I$3</f>
        <v>15102</v>
      </c>
      <c r="K354" s="29">
        <f>I335*Dashboard!$I$4</f>
        <v>15750</v>
      </c>
      <c r="L354" s="48"/>
      <c r="M354" s="7">
        <f t="shared" si="82"/>
        <v>12</v>
      </c>
      <c r="N354" s="31">
        <f>M354*Dashboard!$I$3</f>
        <v>20136</v>
      </c>
      <c r="O354" s="18">
        <f>M333*Dashboard!$I$4</f>
        <v>21000</v>
      </c>
      <c r="P354" s="48"/>
      <c r="Q354" s="32">
        <f t="shared" si="71"/>
        <v>30</v>
      </c>
      <c r="R354" s="31">
        <f t="shared" si="72"/>
        <v>50340</v>
      </c>
      <c r="S354" s="31">
        <f t="shared" si="73"/>
        <v>52500</v>
      </c>
      <c r="T354" s="31">
        <f t="shared" si="74"/>
        <v>2160</v>
      </c>
      <c r="U354" s="31">
        <f>U353-R354+S354+V354-Custos!D354+Z353+AF353+AL353-AB353-AH353-AM353</f>
        <v>229581.31821810166</v>
      </c>
      <c r="V354" s="31">
        <f>U353*(((1+Dashboard!$C$17)^(1/30))-1)</f>
        <v>86.087887936397095</v>
      </c>
      <c r="W354" s="29">
        <f t="shared" si="75"/>
        <v>279921.31821810163</v>
      </c>
      <c r="X354" s="45">
        <f>-R354+S354-Custos!D354</f>
        <v>656.59999999999991</v>
      </c>
      <c r="Z354" s="83">
        <v>0</v>
      </c>
      <c r="AA354" s="33">
        <f>AC353*(((1+Dashboard!$C$20)^(1/30))-1)</f>
        <v>322.54519803891054</v>
      </c>
      <c r="AB354" s="84">
        <v>0</v>
      </c>
      <c r="AC354" s="18">
        <f t="shared" si="83"/>
        <v>704052.23083384125</v>
      </c>
      <c r="AD354" s="47">
        <f t="shared" si="76"/>
        <v>0</v>
      </c>
      <c r="AF354" s="83">
        <v>0</v>
      </c>
      <c r="AG354" s="33">
        <f>AI353*(((1+Dashboard!$C$21)^(1/30))-1)</f>
        <v>61.152507416389525</v>
      </c>
      <c r="AH354" s="84">
        <v>0</v>
      </c>
      <c r="AI354" s="29">
        <f t="shared" si="84"/>
        <v>119550.25330029822</v>
      </c>
      <c r="AJ354" s="45">
        <f t="shared" si="77"/>
        <v>0</v>
      </c>
      <c r="AL354" s="83">
        <v>0</v>
      </c>
      <c r="AM354" s="22">
        <v>0</v>
      </c>
      <c r="AN354" s="45">
        <f t="shared" si="78"/>
        <v>0</v>
      </c>
    </row>
    <row r="355" spans="2:40" x14ac:dyDescent="0.25">
      <c r="B355" s="53">
        <f>B354*(((1+Dashboard!$C$20)^(1/30)))</f>
        <v>1173958.2064436818</v>
      </c>
      <c r="C355" s="1">
        <v>351</v>
      </c>
      <c r="D355" s="51">
        <f t="shared" si="79"/>
        <v>46524</v>
      </c>
      <c r="E355" s="7">
        <f t="shared" si="80"/>
        <v>9</v>
      </c>
      <c r="F355" s="31">
        <f>E355*Dashboard!$I$3</f>
        <v>15102</v>
      </c>
      <c r="G355" s="18">
        <f>E338*Dashboard!$I$4</f>
        <v>15750</v>
      </c>
      <c r="H355" s="48"/>
      <c r="I355" s="7">
        <f t="shared" si="81"/>
        <v>9</v>
      </c>
      <c r="J355" s="31">
        <f>I355*Dashboard!$I$3</f>
        <v>15102</v>
      </c>
      <c r="K355" s="29">
        <f>I336*Dashboard!$I$4</f>
        <v>15750</v>
      </c>
      <c r="L355" s="48"/>
      <c r="M355" s="7">
        <f t="shared" si="82"/>
        <v>12</v>
      </c>
      <c r="N355" s="31">
        <f>M355*Dashboard!$I$3</f>
        <v>20136</v>
      </c>
      <c r="O355" s="18">
        <f>M334*Dashboard!$I$4</f>
        <v>21000</v>
      </c>
      <c r="P355" s="48"/>
      <c r="Q355" s="32">
        <f t="shared" si="71"/>
        <v>30</v>
      </c>
      <c r="R355" s="31">
        <f t="shared" si="72"/>
        <v>50340</v>
      </c>
      <c r="S355" s="31">
        <f t="shared" si="73"/>
        <v>52500</v>
      </c>
      <c r="T355" s="31">
        <f t="shared" si="74"/>
        <v>2160</v>
      </c>
      <c r="U355" s="31">
        <f>U354-R355+S355+V355-Custos!D355+Z354+AF354+AL354-AB354-AH354-AM354</f>
        <v>230324.28550131139</v>
      </c>
      <c r="V355" s="31">
        <f>U354*(((1+Dashboard!$C$17)^(1/30))-1)</f>
        <v>86.367283209721975</v>
      </c>
      <c r="W355" s="29">
        <f t="shared" si="75"/>
        <v>280664.28550131142</v>
      </c>
      <c r="X355" s="45">
        <f>-R355+S355-Custos!D355</f>
        <v>656.59999999999991</v>
      </c>
      <c r="Z355" s="83">
        <v>0</v>
      </c>
      <c r="AA355" s="33">
        <f>AC354*(((1+Dashboard!$C$20)^(1/30))-1)</f>
        <v>322.69303236635398</v>
      </c>
      <c r="AB355" s="84">
        <v>0</v>
      </c>
      <c r="AC355" s="18">
        <f t="shared" si="83"/>
        <v>704374.92386620759</v>
      </c>
      <c r="AD355" s="47">
        <f t="shared" si="76"/>
        <v>0</v>
      </c>
      <c r="AF355" s="83">
        <v>0</v>
      </c>
      <c r="AG355" s="33">
        <f>AI354*(((1+Dashboard!$C$21)^(1/30))-1)</f>
        <v>61.183804238764928</v>
      </c>
      <c r="AH355" s="84">
        <v>0</v>
      </c>
      <c r="AI355" s="29">
        <f t="shared" si="84"/>
        <v>119611.43710453699</v>
      </c>
      <c r="AJ355" s="45">
        <f t="shared" si="77"/>
        <v>0</v>
      </c>
      <c r="AL355" s="83">
        <v>0</v>
      </c>
      <c r="AM355" s="22">
        <v>0</v>
      </c>
      <c r="AN355" s="45">
        <f t="shared" si="78"/>
        <v>0</v>
      </c>
    </row>
    <row r="356" spans="2:40" x14ac:dyDescent="0.25">
      <c r="B356" s="53">
        <f>B355*(((1+Dashboard!$C$20)^(1/30)))</f>
        <v>1174496.274667768</v>
      </c>
      <c r="C356" s="1">
        <v>352</v>
      </c>
      <c r="D356" s="51">
        <f t="shared" si="79"/>
        <v>46525</v>
      </c>
      <c r="E356" s="7">
        <f t="shared" si="80"/>
        <v>9</v>
      </c>
      <c r="F356" s="31">
        <f>E356*Dashboard!$I$3</f>
        <v>15102</v>
      </c>
      <c r="G356" s="18">
        <f>E339*Dashboard!$I$4</f>
        <v>15750</v>
      </c>
      <c r="H356" s="48"/>
      <c r="I356" s="7">
        <f t="shared" si="81"/>
        <v>9</v>
      </c>
      <c r="J356" s="31">
        <f>I356*Dashboard!$I$3</f>
        <v>15102</v>
      </c>
      <c r="K356" s="29">
        <f>I337*Dashboard!$I$4</f>
        <v>15750</v>
      </c>
      <c r="L356" s="48"/>
      <c r="M356" s="7">
        <f t="shared" si="82"/>
        <v>12</v>
      </c>
      <c r="N356" s="31">
        <f>M356*Dashboard!$I$3</f>
        <v>20136</v>
      </c>
      <c r="O356" s="18">
        <f>M335*Dashboard!$I$4</f>
        <v>21000</v>
      </c>
      <c r="P356" s="48"/>
      <c r="Q356" s="32">
        <f t="shared" si="71"/>
        <v>30</v>
      </c>
      <c r="R356" s="31">
        <f t="shared" si="72"/>
        <v>50340</v>
      </c>
      <c r="S356" s="31">
        <f t="shared" si="73"/>
        <v>52500</v>
      </c>
      <c r="T356" s="31">
        <f t="shared" si="74"/>
        <v>2160</v>
      </c>
      <c r="U356" s="31">
        <f>U355-R356+S356+V356-Custos!D356+Z355+AF355+AL355-AB355-AH355-AM355</f>
        <v>231067.53228490148</v>
      </c>
      <c r="V356" s="31">
        <f>U355*(((1+Dashboard!$C$17)^(1/30))-1)</f>
        <v>86.646783590077717</v>
      </c>
      <c r="W356" s="29">
        <f t="shared" si="75"/>
        <v>281407.53228490148</v>
      </c>
      <c r="X356" s="45">
        <f>-R356+S356-Custos!D356</f>
        <v>656.59999999999991</v>
      </c>
      <c r="Z356" s="83">
        <v>0</v>
      </c>
      <c r="AA356" s="33">
        <f>AC355*(((1+Dashboard!$C$20)^(1/30))-1)</f>
        <v>322.84093445170703</v>
      </c>
      <c r="AB356" s="84">
        <v>0</v>
      </c>
      <c r="AC356" s="18">
        <f t="shared" si="83"/>
        <v>704697.76480065926</v>
      </c>
      <c r="AD356" s="47">
        <f t="shared" si="76"/>
        <v>0</v>
      </c>
      <c r="AF356" s="83">
        <v>0</v>
      </c>
      <c r="AG356" s="33">
        <f>AI355*(((1+Dashboard!$C$21)^(1/30))-1)</f>
        <v>61.215117078326422</v>
      </c>
      <c r="AH356" s="84">
        <v>0</v>
      </c>
      <c r="AI356" s="29">
        <f t="shared" si="84"/>
        <v>119672.65222161532</v>
      </c>
      <c r="AJ356" s="45">
        <f t="shared" si="77"/>
        <v>0</v>
      </c>
      <c r="AL356" s="83">
        <v>0</v>
      </c>
      <c r="AM356" s="22">
        <v>0</v>
      </c>
      <c r="AN356" s="45">
        <f t="shared" si="78"/>
        <v>0</v>
      </c>
    </row>
    <row r="357" spans="2:40" x14ac:dyDescent="0.25">
      <c r="B357" s="53">
        <f>B356*(((1+Dashboard!$C$20)^(1/30)))</f>
        <v>1175034.5895083114</v>
      </c>
      <c r="C357" s="1">
        <v>353</v>
      </c>
      <c r="D357" s="51">
        <f t="shared" si="79"/>
        <v>46526</v>
      </c>
      <c r="E357" s="7">
        <f t="shared" si="80"/>
        <v>9</v>
      </c>
      <c r="F357" s="31">
        <f>E357*Dashboard!$I$3</f>
        <v>15102</v>
      </c>
      <c r="G357" s="18">
        <f>E340*Dashboard!$I$4</f>
        <v>15750</v>
      </c>
      <c r="H357" s="48"/>
      <c r="I357" s="7">
        <f t="shared" si="81"/>
        <v>9</v>
      </c>
      <c r="J357" s="31">
        <f>I357*Dashboard!$I$3</f>
        <v>15102</v>
      </c>
      <c r="K357" s="29">
        <f>I338*Dashboard!$I$4</f>
        <v>15750</v>
      </c>
      <c r="L357" s="48"/>
      <c r="M357" s="7">
        <f t="shared" si="82"/>
        <v>12</v>
      </c>
      <c r="N357" s="31">
        <f>M357*Dashboard!$I$3</f>
        <v>20136</v>
      </c>
      <c r="O357" s="18">
        <f>M336*Dashboard!$I$4</f>
        <v>21000</v>
      </c>
      <c r="P357" s="48"/>
      <c r="Q357" s="32">
        <f t="shared" si="71"/>
        <v>30</v>
      </c>
      <c r="R357" s="31">
        <f t="shared" si="72"/>
        <v>50340</v>
      </c>
      <c r="S357" s="31">
        <f t="shared" si="73"/>
        <v>52500</v>
      </c>
      <c r="T357" s="31">
        <f t="shared" si="74"/>
        <v>2160</v>
      </c>
      <c r="U357" s="31">
        <f>U356-R357+S357+V357-Custos!D357+Z356+AF356+AL356-AB356-AH356-AM356</f>
        <v>231811.05867401848</v>
      </c>
      <c r="V357" s="31">
        <f>U356*(((1+Dashboard!$C$17)^(1/30))-1)</f>
        <v>86.926389117005044</v>
      </c>
      <c r="W357" s="29">
        <f t="shared" si="75"/>
        <v>282151.05867401848</v>
      </c>
      <c r="X357" s="45">
        <f>-R357+S357-Custos!D357</f>
        <v>656.59999999999991</v>
      </c>
      <c r="Z357" s="83">
        <v>0</v>
      </c>
      <c r="AA357" s="33">
        <f>AC356*(((1+Dashboard!$C$20)^(1/30))-1)</f>
        <v>322.98890432602559</v>
      </c>
      <c r="AB357" s="84">
        <v>0</v>
      </c>
      <c r="AC357" s="18">
        <f t="shared" si="83"/>
        <v>705020.75370498525</v>
      </c>
      <c r="AD357" s="47">
        <f t="shared" si="76"/>
        <v>0</v>
      </c>
      <c r="AF357" s="83">
        <v>0</v>
      </c>
      <c r="AG357" s="33">
        <f>AI356*(((1+Dashboard!$C$21)^(1/30))-1)</f>
        <v>61.246445943271326</v>
      </c>
      <c r="AH357" s="84">
        <v>0</v>
      </c>
      <c r="AI357" s="29">
        <f t="shared" si="84"/>
        <v>119733.89866755859</v>
      </c>
      <c r="AJ357" s="45">
        <f t="shared" si="77"/>
        <v>0</v>
      </c>
      <c r="AL357" s="83">
        <v>0</v>
      </c>
      <c r="AM357" s="22">
        <v>0</v>
      </c>
      <c r="AN357" s="45">
        <f t="shared" si="78"/>
        <v>0</v>
      </c>
    </row>
    <row r="358" spans="2:40" x14ac:dyDescent="0.25">
      <c r="B358" s="53">
        <f>B357*(((1+Dashboard!$C$20)^(1/30)))</f>
        <v>1175573.1510783453</v>
      </c>
      <c r="C358" s="1">
        <v>354</v>
      </c>
      <c r="D358" s="51">
        <f t="shared" si="79"/>
        <v>46527</v>
      </c>
      <c r="E358" s="7">
        <f t="shared" si="80"/>
        <v>9</v>
      </c>
      <c r="F358" s="31">
        <f>E358*Dashboard!$I$3</f>
        <v>15102</v>
      </c>
      <c r="G358" s="18">
        <f>E341*Dashboard!$I$4</f>
        <v>15750</v>
      </c>
      <c r="H358" s="48"/>
      <c r="I358" s="7">
        <f t="shared" si="81"/>
        <v>9</v>
      </c>
      <c r="J358" s="31">
        <f>I358*Dashboard!$I$3</f>
        <v>15102</v>
      </c>
      <c r="K358" s="29">
        <f>I339*Dashboard!$I$4</f>
        <v>15750</v>
      </c>
      <c r="L358" s="48"/>
      <c r="M358" s="7">
        <f t="shared" si="82"/>
        <v>12</v>
      </c>
      <c r="N358" s="31">
        <f>M358*Dashboard!$I$3</f>
        <v>20136</v>
      </c>
      <c r="O358" s="18">
        <f>M337*Dashboard!$I$4</f>
        <v>21000</v>
      </c>
      <c r="P358" s="48"/>
      <c r="Q358" s="32">
        <f t="shared" si="71"/>
        <v>30</v>
      </c>
      <c r="R358" s="31">
        <f t="shared" si="72"/>
        <v>50340</v>
      </c>
      <c r="S358" s="31">
        <f t="shared" si="73"/>
        <v>52500</v>
      </c>
      <c r="T358" s="31">
        <f t="shared" si="74"/>
        <v>2160</v>
      </c>
      <c r="U358" s="31">
        <f>U357-R358+S358+V358-Custos!D358+Z357+AF357+AL357-AB357-AH357-AM357</f>
        <v>232554.86477384856</v>
      </c>
      <c r="V358" s="31">
        <f>U357*(((1+Dashboard!$C$17)^(1/30))-1)</f>
        <v>87.206099830059514</v>
      </c>
      <c r="W358" s="29">
        <f t="shared" si="75"/>
        <v>282894.86477384856</v>
      </c>
      <c r="X358" s="45">
        <f>-R358+S358-Custos!D358</f>
        <v>656.59999999999991</v>
      </c>
      <c r="Z358" s="83">
        <v>0</v>
      </c>
      <c r="AA358" s="33">
        <f>AC357*(((1+Dashboard!$C$20)^(1/30))-1)</f>
        <v>323.13694202037993</v>
      </c>
      <c r="AB358" s="84">
        <v>0</v>
      </c>
      <c r="AC358" s="18">
        <f t="shared" si="83"/>
        <v>705343.89064700564</v>
      </c>
      <c r="AD358" s="47">
        <f t="shared" si="76"/>
        <v>0</v>
      </c>
      <c r="AF358" s="83">
        <v>0</v>
      </c>
      <c r="AG358" s="33">
        <f>AI357*(((1+Dashboard!$C$21)^(1/30))-1)</f>
        <v>61.277790841801149</v>
      </c>
      <c r="AH358" s="84">
        <v>0</v>
      </c>
      <c r="AI358" s="29">
        <f t="shared" si="84"/>
        <v>119795.1764584004</v>
      </c>
      <c r="AJ358" s="45">
        <f t="shared" si="77"/>
        <v>0</v>
      </c>
      <c r="AL358" s="83">
        <v>0</v>
      </c>
      <c r="AM358" s="22">
        <v>0</v>
      </c>
      <c r="AN358" s="45">
        <f t="shared" si="78"/>
        <v>0</v>
      </c>
    </row>
    <row r="359" spans="2:40" x14ac:dyDescent="0.25">
      <c r="B359" s="53">
        <f>B358*(((1+Dashboard!$C$20)^(1/30)))</f>
        <v>1176111.9594909551</v>
      </c>
      <c r="C359" s="1">
        <v>355</v>
      </c>
      <c r="D359" s="51">
        <f t="shared" si="79"/>
        <v>46528</v>
      </c>
      <c r="E359" s="7">
        <f t="shared" si="80"/>
        <v>9</v>
      </c>
      <c r="F359" s="31">
        <f>E359*Dashboard!$I$3</f>
        <v>15102</v>
      </c>
      <c r="G359" s="18">
        <f>E342*Dashboard!$I$4</f>
        <v>15750</v>
      </c>
      <c r="H359" s="48"/>
      <c r="I359" s="7">
        <f t="shared" si="81"/>
        <v>9</v>
      </c>
      <c r="J359" s="31">
        <f>I359*Dashboard!$I$3</f>
        <v>15102</v>
      </c>
      <c r="K359" s="29">
        <f>I340*Dashboard!$I$4</f>
        <v>15750</v>
      </c>
      <c r="L359" s="48"/>
      <c r="M359" s="7">
        <f t="shared" si="82"/>
        <v>12</v>
      </c>
      <c r="N359" s="31">
        <f>M359*Dashboard!$I$3</f>
        <v>20136</v>
      </c>
      <c r="O359" s="18">
        <f>M338*Dashboard!$I$4</f>
        <v>21000</v>
      </c>
      <c r="P359" s="48"/>
      <c r="Q359" s="32">
        <f t="shared" si="71"/>
        <v>30</v>
      </c>
      <c r="R359" s="31">
        <f t="shared" si="72"/>
        <v>50340</v>
      </c>
      <c r="S359" s="31">
        <f t="shared" si="73"/>
        <v>52500</v>
      </c>
      <c r="T359" s="31">
        <f t="shared" si="74"/>
        <v>2160</v>
      </c>
      <c r="U359" s="31">
        <f>U358-R359+S359+V359-Custos!D359+Z358+AF358+AL358-AB358-AH358-AM358</f>
        <v>233298.95068961737</v>
      </c>
      <c r="V359" s="31">
        <f>U358*(((1+Dashboard!$C$17)^(1/30))-1)</f>
        <v>87.485915768811608</v>
      </c>
      <c r="W359" s="29">
        <f t="shared" si="75"/>
        <v>283638.95068961737</v>
      </c>
      <c r="X359" s="45">
        <f>-R359+S359-Custos!D359</f>
        <v>656.59999999999991</v>
      </c>
      <c r="Z359" s="83">
        <v>0</v>
      </c>
      <c r="AA359" s="33">
        <f>AC358*(((1+Dashboard!$C$20)^(1/30))-1)</f>
        <v>323.28504756585437</v>
      </c>
      <c r="AB359" s="84">
        <v>0</v>
      </c>
      <c r="AC359" s="18">
        <f t="shared" si="83"/>
        <v>705667.17569457146</v>
      </c>
      <c r="AD359" s="47">
        <f t="shared" si="76"/>
        <v>0</v>
      </c>
      <c r="AF359" s="83">
        <v>0</v>
      </c>
      <c r="AG359" s="33">
        <f>AI358*(((1+Dashboard!$C$21)^(1/30))-1)</f>
        <v>61.309151782121631</v>
      </c>
      <c r="AH359" s="84">
        <v>0</v>
      </c>
      <c r="AI359" s="29">
        <f t="shared" si="84"/>
        <v>119856.48561018251</v>
      </c>
      <c r="AJ359" s="45">
        <f t="shared" si="77"/>
        <v>0</v>
      </c>
      <c r="AL359" s="83">
        <v>0</v>
      </c>
      <c r="AM359" s="22">
        <v>0</v>
      </c>
      <c r="AN359" s="45">
        <f t="shared" si="78"/>
        <v>0</v>
      </c>
    </row>
    <row r="360" spans="2:40" x14ac:dyDescent="0.25">
      <c r="B360" s="53">
        <f>B359*(((1+Dashboard!$C$20)^(1/30)))</f>
        <v>1176651.0148592778</v>
      </c>
      <c r="C360" s="1">
        <v>356</v>
      </c>
      <c r="D360" s="51">
        <f t="shared" si="79"/>
        <v>46529</v>
      </c>
      <c r="E360" s="7">
        <f t="shared" si="80"/>
        <v>9</v>
      </c>
      <c r="F360" s="31">
        <f>E360*Dashboard!$I$3</f>
        <v>15102</v>
      </c>
      <c r="G360" s="18">
        <f>E343*Dashboard!$I$4</f>
        <v>15750</v>
      </c>
      <c r="H360" s="48"/>
      <c r="I360" s="7">
        <f t="shared" si="81"/>
        <v>9</v>
      </c>
      <c r="J360" s="31">
        <f>I360*Dashboard!$I$3</f>
        <v>15102</v>
      </c>
      <c r="K360" s="29">
        <f>I341*Dashboard!$I$4</f>
        <v>15750</v>
      </c>
      <c r="L360" s="48"/>
      <c r="M360" s="7">
        <f t="shared" si="82"/>
        <v>12</v>
      </c>
      <c r="N360" s="31">
        <f>M360*Dashboard!$I$3</f>
        <v>20136</v>
      </c>
      <c r="O360" s="18">
        <f>M339*Dashboard!$I$4</f>
        <v>21000</v>
      </c>
      <c r="P360" s="48"/>
      <c r="Q360" s="32">
        <f t="shared" si="71"/>
        <v>30</v>
      </c>
      <c r="R360" s="31">
        <f t="shared" si="72"/>
        <v>50340</v>
      </c>
      <c r="S360" s="31">
        <f t="shared" si="73"/>
        <v>52500</v>
      </c>
      <c r="T360" s="31">
        <f t="shared" si="74"/>
        <v>2160</v>
      </c>
      <c r="U360" s="31">
        <f>U359-R360+S360+V360-Custos!D360+Z359+AF359+AL359-AB359-AH359-AM359</f>
        <v>234043.31652659024</v>
      </c>
      <c r="V360" s="31">
        <f>U359*(((1+Dashboard!$C$17)^(1/30))-1)</f>
        <v>87.765836972846685</v>
      </c>
      <c r="W360" s="29">
        <f t="shared" si="75"/>
        <v>284383.31652659026</v>
      </c>
      <c r="X360" s="45">
        <f>-R360+S360-Custos!D360</f>
        <v>656.59999999999991</v>
      </c>
      <c r="Z360" s="83">
        <v>0</v>
      </c>
      <c r="AA360" s="33">
        <f>AC359*(((1+Dashboard!$C$20)^(1/30))-1)</f>
        <v>323.43322099354759</v>
      </c>
      <c r="AB360" s="84">
        <v>0</v>
      </c>
      <c r="AC360" s="18">
        <f t="shared" si="83"/>
        <v>705990.60891556495</v>
      </c>
      <c r="AD360" s="47">
        <f t="shared" si="76"/>
        <v>0</v>
      </c>
      <c r="AF360" s="83">
        <v>0</v>
      </c>
      <c r="AG360" s="33">
        <f>AI359*(((1+Dashboard!$C$21)^(1/30))-1)</f>
        <v>61.340528772442674</v>
      </c>
      <c r="AH360" s="84">
        <v>0</v>
      </c>
      <c r="AI360" s="29">
        <f t="shared" si="84"/>
        <v>119917.82613895496</v>
      </c>
      <c r="AJ360" s="45">
        <f t="shared" si="77"/>
        <v>0</v>
      </c>
      <c r="AL360" s="83">
        <v>0</v>
      </c>
      <c r="AM360" s="22">
        <v>0</v>
      </c>
      <c r="AN360" s="45">
        <f t="shared" si="78"/>
        <v>0</v>
      </c>
    </row>
    <row r="361" spans="2:40" x14ac:dyDescent="0.25">
      <c r="B361" s="53">
        <f>B360*(((1+Dashboard!$C$20)^(1/30)))</f>
        <v>1177190.3172965019</v>
      </c>
      <c r="C361" s="1">
        <v>357</v>
      </c>
      <c r="D361" s="51">
        <f t="shared" si="79"/>
        <v>46530</v>
      </c>
      <c r="E361" s="7">
        <f t="shared" si="80"/>
        <v>9</v>
      </c>
      <c r="F361" s="31">
        <f>E361*Dashboard!$I$3</f>
        <v>15102</v>
      </c>
      <c r="G361" s="18">
        <f>E344*Dashboard!$I$4</f>
        <v>15750</v>
      </c>
      <c r="H361" s="48"/>
      <c r="I361" s="7">
        <f t="shared" si="81"/>
        <v>9</v>
      </c>
      <c r="J361" s="31">
        <f>I361*Dashboard!$I$3</f>
        <v>15102</v>
      </c>
      <c r="K361" s="29">
        <f>I342*Dashboard!$I$4</f>
        <v>15750</v>
      </c>
      <c r="L361" s="48"/>
      <c r="M361" s="7">
        <f t="shared" si="82"/>
        <v>12</v>
      </c>
      <c r="N361" s="31">
        <f>M361*Dashboard!$I$3</f>
        <v>20136</v>
      </c>
      <c r="O361" s="18">
        <f>M340*Dashboard!$I$4</f>
        <v>21000</v>
      </c>
      <c r="P361" s="48"/>
      <c r="Q361" s="32">
        <f t="shared" si="71"/>
        <v>30</v>
      </c>
      <c r="R361" s="31">
        <f t="shared" si="72"/>
        <v>50340</v>
      </c>
      <c r="S361" s="31">
        <f t="shared" si="73"/>
        <v>52500</v>
      </c>
      <c r="T361" s="31">
        <f t="shared" si="74"/>
        <v>2160</v>
      </c>
      <c r="U361" s="31">
        <f>U360-R361+S361+V361-Custos!D361+Z360+AF360+AL360-AB360-AH360-AM360</f>
        <v>234787.962390072</v>
      </c>
      <c r="V361" s="31">
        <f>U360*(((1+Dashboard!$C$17)^(1/30))-1)</f>
        <v>88.045863481764982</v>
      </c>
      <c r="W361" s="29">
        <f t="shared" si="75"/>
        <v>285127.962390072</v>
      </c>
      <c r="X361" s="45">
        <f>-R361+S361-Custos!D361</f>
        <v>656.59999999999991</v>
      </c>
      <c r="Z361" s="83">
        <v>0</v>
      </c>
      <c r="AA361" s="33">
        <f>AC360*(((1+Dashboard!$C$20)^(1/30))-1)</f>
        <v>323.58146233457251</v>
      </c>
      <c r="AB361" s="84">
        <v>0</v>
      </c>
      <c r="AC361" s="18">
        <f t="shared" si="83"/>
        <v>706314.19037789956</v>
      </c>
      <c r="AD361" s="47">
        <f t="shared" si="76"/>
        <v>0</v>
      </c>
      <c r="AF361" s="83">
        <v>0</v>
      </c>
      <c r="AG361" s="33">
        <f>AI360*(((1+Dashboard!$C$21)^(1/30))-1)</f>
        <v>61.371921820978407</v>
      </c>
      <c r="AH361" s="84">
        <v>0</v>
      </c>
      <c r="AI361" s="29">
        <f t="shared" si="84"/>
        <v>119979.19806077593</v>
      </c>
      <c r="AJ361" s="45">
        <f t="shared" si="77"/>
        <v>0</v>
      </c>
      <c r="AL361" s="83">
        <v>0</v>
      </c>
      <c r="AM361" s="22">
        <v>0</v>
      </c>
      <c r="AN361" s="45">
        <f t="shared" si="78"/>
        <v>0</v>
      </c>
    </row>
    <row r="362" spans="2:40" x14ac:dyDescent="0.25">
      <c r="B362" s="53">
        <f>B361*(((1+Dashboard!$C$20)^(1/30)))</f>
        <v>1177729.8669158686</v>
      </c>
      <c r="C362" s="1">
        <v>358</v>
      </c>
      <c r="D362" s="51">
        <f t="shared" si="79"/>
        <v>46531</v>
      </c>
      <c r="E362" s="7">
        <f t="shared" si="80"/>
        <v>9</v>
      </c>
      <c r="F362" s="31">
        <f>E362*Dashboard!$I$3</f>
        <v>15102</v>
      </c>
      <c r="G362" s="18">
        <f>E345*Dashboard!$I$4</f>
        <v>15750</v>
      </c>
      <c r="H362" s="48"/>
      <c r="I362" s="7">
        <f t="shared" si="81"/>
        <v>9</v>
      </c>
      <c r="J362" s="31">
        <f>I362*Dashboard!$I$3</f>
        <v>15102</v>
      </c>
      <c r="K362" s="29">
        <f>I343*Dashboard!$I$4</f>
        <v>15750</v>
      </c>
      <c r="L362" s="48"/>
      <c r="M362" s="7">
        <f t="shared" si="82"/>
        <v>12</v>
      </c>
      <c r="N362" s="31">
        <f>M362*Dashboard!$I$3</f>
        <v>20136</v>
      </c>
      <c r="O362" s="18">
        <f>M341*Dashboard!$I$4</f>
        <v>21000</v>
      </c>
      <c r="P362" s="48"/>
      <c r="Q362" s="32">
        <f t="shared" si="71"/>
        <v>30</v>
      </c>
      <c r="R362" s="31">
        <f t="shared" si="72"/>
        <v>50340</v>
      </c>
      <c r="S362" s="31">
        <f t="shared" si="73"/>
        <v>52500</v>
      </c>
      <c r="T362" s="31">
        <f t="shared" si="74"/>
        <v>2160</v>
      </c>
      <c r="U362" s="31">
        <f>U361-R362+S362+V362-Custos!D362+Z361+AF361+AL361-AB361-AH361-AM361</f>
        <v>235532.88838540719</v>
      </c>
      <c r="V362" s="31">
        <f>U361*(((1+Dashboard!$C$17)^(1/30))-1)</f>
        <v>88.325995335181645</v>
      </c>
      <c r="W362" s="29">
        <f t="shared" si="75"/>
        <v>285872.88838540716</v>
      </c>
      <c r="X362" s="45">
        <f>-R362+S362-Custos!D362</f>
        <v>656.59999999999991</v>
      </c>
      <c r="Z362" s="83">
        <v>0</v>
      </c>
      <c r="AA362" s="33">
        <f>AC361*(((1+Dashboard!$C$20)^(1/30))-1)</f>
        <v>323.7297716200564</v>
      </c>
      <c r="AB362" s="84">
        <v>0</v>
      </c>
      <c r="AC362" s="18">
        <f t="shared" si="83"/>
        <v>706637.92014951957</v>
      </c>
      <c r="AD362" s="47">
        <f t="shared" si="76"/>
        <v>0</v>
      </c>
      <c r="AF362" s="83">
        <v>0</v>
      </c>
      <c r="AG362" s="33">
        <f>AI361*(((1+Dashboard!$C$21)^(1/30))-1)</f>
        <v>61.403330935947153</v>
      </c>
      <c r="AH362" s="84">
        <v>0</v>
      </c>
      <c r="AI362" s="29">
        <f t="shared" si="84"/>
        <v>120040.60139171188</v>
      </c>
      <c r="AJ362" s="45">
        <f t="shared" si="77"/>
        <v>0</v>
      </c>
      <c r="AL362" s="83">
        <v>0</v>
      </c>
      <c r="AM362" s="22">
        <v>0</v>
      </c>
      <c r="AN362" s="45">
        <f t="shared" si="78"/>
        <v>0</v>
      </c>
    </row>
    <row r="363" spans="2:40" x14ac:dyDescent="0.25">
      <c r="B363" s="53">
        <f>B362*(((1+Dashboard!$C$20)^(1/30)))</f>
        <v>1178269.6638306705</v>
      </c>
      <c r="C363" s="1">
        <v>359</v>
      </c>
      <c r="D363" s="51">
        <f t="shared" si="79"/>
        <v>46532</v>
      </c>
      <c r="E363" s="7">
        <f t="shared" si="80"/>
        <v>9</v>
      </c>
      <c r="F363" s="31">
        <f>E363*Dashboard!$I$3</f>
        <v>15102</v>
      </c>
      <c r="G363" s="18">
        <f>E346*Dashboard!$I$4</f>
        <v>15750</v>
      </c>
      <c r="H363" s="48"/>
      <c r="I363" s="7">
        <f t="shared" si="81"/>
        <v>9</v>
      </c>
      <c r="J363" s="31">
        <f>I363*Dashboard!$I$3</f>
        <v>15102</v>
      </c>
      <c r="K363" s="29">
        <f>I344*Dashboard!$I$4</f>
        <v>15750</v>
      </c>
      <c r="L363" s="48"/>
      <c r="M363" s="7">
        <f t="shared" si="82"/>
        <v>12</v>
      </c>
      <c r="N363" s="31">
        <f>M363*Dashboard!$I$3</f>
        <v>20136</v>
      </c>
      <c r="O363" s="18">
        <f>M342*Dashboard!$I$4</f>
        <v>21000</v>
      </c>
      <c r="P363" s="48"/>
      <c r="Q363" s="32">
        <f t="shared" si="71"/>
        <v>30</v>
      </c>
      <c r="R363" s="31">
        <f t="shared" si="72"/>
        <v>50340</v>
      </c>
      <c r="S363" s="31">
        <f t="shared" si="73"/>
        <v>52500</v>
      </c>
      <c r="T363" s="31">
        <f t="shared" si="74"/>
        <v>2160</v>
      </c>
      <c r="U363" s="31">
        <f>U362-R363+S363+V363-Custos!D363+Z362+AF362+AL362-AB362-AH362-AM362</f>
        <v>236278.09461797992</v>
      </c>
      <c r="V363" s="31">
        <f>U362*(((1+Dashboard!$C$17)^(1/30))-1)</f>
        <v>88.606232572726725</v>
      </c>
      <c r="W363" s="29">
        <f t="shared" si="75"/>
        <v>286618.09461797995</v>
      </c>
      <c r="X363" s="45">
        <f>-R363+S363-Custos!D363</f>
        <v>656.59999999999991</v>
      </c>
      <c r="Z363" s="83">
        <v>0</v>
      </c>
      <c r="AA363" s="33">
        <f>AC362*(((1+Dashboard!$C$20)^(1/30))-1)</f>
        <v>323.87814888114059</v>
      </c>
      <c r="AB363" s="84">
        <v>0</v>
      </c>
      <c r="AC363" s="18">
        <f t="shared" si="83"/>
        <v>706961.79829840071</v>
      </c>
      <c r="AD363" s="47">
        <f t="shared" si="76"/>
        <v>0</v>
      </c>
      <c r="AF363" s="83">
        <v>0</v>
      </c>
      <c r="AG363" s="33">
        <f>AI362*(((1+Dashboard!$C$21)^(1/30))-1)</f>
        <v>61.434756125571433</v>
      </c>
      <c r="AH363" s="84">
        <v>0</v>
      </c>
      <c r="AI363" s="29">
        <f t="shared" si="84"/>
        <v>120102.03614783745</v>
      </c>
      <c r="AJ363" s="45">
        <f t="shared" si="77"/>
        <v>0</v>
      </c>
      <c r="AL363" s="83">
        <v>0</v>
      </c>
      <c r="AM363" s="22">
        <v>0</v>
      </c>
      <c r="AN363" s="45">
        <f t="shared" si="78"/>
        <v>0</v>
      </c>
    </row>
    <row r="364" spans="2:40" x14ac:dyDescent="0.25">
      <c r="B364" s="53">
        <f>B363*(((1+Dashboard!$C$20)^(1/30)))</f>
        <v>1178809.7081542523</v>
      </c>
      <c r="C364" s="1">
        <v>360</v>
      </c>
      <c r="D364" s="51">
        <f t="shared" si="79"/>
        <v>46533</v>
      </c>
      <c r="E364" s="7">
        <f t="shared" si="80"/>
        <v>9</v>
      </c>
      <c r="F364" s="31">
        <f>E364*Dashboard!$I$3</f>
        <v>15102</v>
      </c>
      <c r="G364" s="18">
        <f>E347*Dashboard!$I$4</f>
        <v>15750</v>
      </c>
      <c r="H364" s="48"/>
      <c r="I364" s="7">
        <f t="shared" si="81"/>
        <v>9</v>
      </c>
      <c r="J364" s="31">
        <f>I364*Dashboard!$I$3</f>
        <v>15102</v>
      </c>
      <c r="K364" s="29">
        <f>I345*Dashboard!$I$4</f>
        <v>15750</v>
      </c>
      <c r="L364" s="48"/>
      <c r="M364" s="7">
        <f t="shared" si="82"/>
        <v>12</v>
      </c>
      <c r="N364" s="31">
        <f>M364*Dashboard!$I$3</f>
        <v>20136</v>
      </c>
      <c r="O364" s="18">
        <f>M343*Dashboard!$I$4</f>
        <v>21000</v>
      </c>
      <c r="P364" s="48"/>
      <c r="Q364" s="32">
        <f t="shared" si="71"/>
        <v>30</v>
      </c>
      <c r="R364" s="31">
        <f t="shared" si="72"/>
        <v>50340</v>
      </c>
      <c r="S364" s="31">
        <f t="shared" si="73"/>
        <v>52500</v>
      </c>
      <c r="T364" s="31">
        <f t="shared" si="74"/>
        <v>2160</v>
      </c>
      <c r="U364" s="31">
        <f>U363-R364+S364+V364-Custos!D364+Z363+AF363+AL363-AB363-AH363-AM363</f>
        <v>237023.58119321396</v>
      </c>
      <c r="V364" s="31">
        <f>U363*(((1+Dashboard!$C$17)^(1/30))-1)</f>
        <v>88.886575234045168</v>
      </c>
      <c r="W364" s="29">
        <f t="shared" si="75"/>
        <v>287363.58119321393</v>
      </c>
      <c r="X364" s="45">
        <f>-R364+S364-Custos!D364</f>
        <v>656.59999999999991</v>
      </c>
      <c r="Z364" s="83">
        <v>0</v>
      </c>
      <c r="AA364" s="33">
        <f>AC363*(((1+Dashboard!$C$20)^(1/30))-1)</f>
        <v>324.02659414898085</v>
      </c>
      <c r="AB364" s="84">
        <v>0</v>
      </c>
      <c r="AC364" s="18">
        <f t="shared" si="83"/>
        <v>707285.82489254966</v>
      </c>
      <c r="AD364" s="47">
        <f t="shared" si="76"/>
        <v>0</v>
      </c>
      <c r="AF364" s="83">
        <v>0</v>
      </c>
      <c r="AG364" s="33">
        <f>AI363*(((1+Dashboard!$C$21)^(1/30))-1)</f>
        <v>61.466197398077995</v>
      </c>
      <c r="AH364" s="84">
        <v>0</v>
      </c>
      <c r="AI364" s="29">
        <f t="shared" si="84"/>
        <v>120163.50234523554</v>
      </c>
      <c r="AJ364" s="45">
        <f t="shared" si="77"/>
        <v>0</v>
      </c>
      <c r="AL364" s="83">
        <v>0</v>
      </c>
      <c r="AM364" s="22">
        <v>0</v>
      </c>
      <c r="AN364" s="45">
        <f t="shared" si="78"/>
        <v>0</v>
      </c>
    </row>
    <row r="365" spans="2:40" x14ac:dyDescent="0.25">
      <c r="B365" s="53">
        <f>B364*(((1+Dashboard!$C$20)^(1/30)))</f>
        <v>1179350.0000000102</v>
      </c>
      <c r="C365" s="1">
        <v>361</v>
      </c>
      <c r="D365" s="51">
        <f t="shared" si="79"/>
        <v>46534</v>
      </c>
      <c r="E365" s="7">
        <f t="shared" si="80"/>
        <v>9</v>
      </c>
      <c r="F365" s="31">
        <f>E365*Dashboard!$I$3</f>
        <v>15102</v>
      </c>
      <c r="G365" s="18">
        <f>E348*Dashboard!$I$4</f>
        <v>15750</v>
      </c>
      <c r="H365" s="48"/>
      <c r="I365" s="7">
        <f t="shared" si="81"/>
        <v>9</v>
      </c>
      <c r="J365" s="31">
        <f>I365*Dashboard!$I$3</f>
        <v>15102</v>
      </c>
      <c r="K365" s="29">
        <f>I346*Dashboard!$I$4</f>
        <v>15750</v>
      </c>
      <c r="L365" s="48"/>
      <c r="M365" s="7">
        <f t="shared" si="82"/>
        <v>12</v>
      </c>
      <c r="N365" s="31">
        <f>M365*Dashboard!$I$3</f>
        <v>20136</v>
      </c>
      <c r="O365" s="18">
        <f>M344*Dashboard!$I$4</f>
        <v>21000</v>
      </c>
      <c r="P365" s="48"/>
      <c r="Q365" s="32">
        <f t="shared" si="71"/>
        <v>30</v>
      </c>
      <c r="R365" s="31">
        <f t="shared" si="72"/>
        <v>50340</v>
      </c>
      <c r="S365" s="31">
        <f t="shared" si="73"/>
        <v>52500</v>
      </c>
      <c r="T365" s="31">
        <f t="shared" si="74"/>
        <v>2160</v>
      </c>
      <c r="U365" s="31">
        <f>U364-R365+S365+V365-Custos!D365+Z364+AF364+AL364-AB364-AH364-AM364</f>
        <v>237769.34821657278</v>
      </c>
      <c r="V365" s="31">
        <f>U364*(((1+Dashboard!$C$17)^(1/30))-1)</f>
        <v>89.16702335879684</v>
      </c>
      <c r="W365" s="29">
        <f t="shared" si="75"/>
        <v>288109.34821657278</v>
      </c>
      <c r="X365" s="45">
        <f>-R365+S365-Custos!D365</f>
        <v>656.59999999999991</v>
      </c>
      <c r="Z365" s="83">
        <v>0</v>
      </c>
      <c r="AA365" s="33">
        <f>AC364*(((1+Dashboard!$C$20)^(1/30))-1)</f>
        <v>324.17510745474709</v>
      </c>
      <c r="AB365" s="84">
        <v>0</v>
      </c>
      <c r="AC365" s="18">
        <f t="shared" si="83"/>
        <v>707610.00000000442</v>
      </c>
      <c r="AD365" s="47">
        <f t="shared" si="76"/>
        <v>0</v>
      </c>
      <c r="AF365" s="83">
        <v>0</v>
      </c>
      <c r="AG365" s="33">
        <f>AI364*(((1+Dashboard!$C$21)^(1/30))-1)</f>
        <v>61.497654761697788</v>
      </c>
      <c r="AH365" s="84">
        <v>0</v>
      </c>
      <c r="AI365" s="29">
        <f t="shared" si="84"/>
        <v>120224.99999999724</v>
      </c>
      <c r="AJ365" s="45">
        <f t="shared" si="77"/>
        <v>0</v>
      </c>
      <c r="AL365" s="83">
        <v>0</v>
      </c>
      <c r="AM365" s="22">
        <v>0</v>
      </c>
      <c r="AN365" s="45">
        <f t="shared" si="78"/>
        <v>0</v>
      </c>
    </row>
    <row r="366" spans="2:40" x14ac:dyDescent="0.25">
      <c r="B366" s="53">
        <f>B365*(((1+Dashboard!$C$20)^(1/30)))</f>
        <v>1179890.5394813931</v>
      </c>
      <c r="C366" s="1">
        <v>362</v>
      </c>
      <c r="D366" s="51">
        <f t="shared" si="79"/>
        <v>46535</v>
      </c>
      <c r="E366" s="7">
        <f t="shared" si="80"/>
        <v>9</v>
      </c>
      <c r="F366" s="31">
        <f>E366*Dashboard!$I$3</f>
        <v>15102</v>
      </c>
      <c r="G366" s="18">
        <f>E349*Dashboard!$I$4</f>
        <v>15750</v>
      </c>
      <c r="H366" s="48"/>
      <c r="I366" s="7">
        <f t="shared" si="81"/>
        <v>9</v>
      </c>
      <c r="J366" s="31">
        <f>I366*Dashboard!$I$3</f>
        <v>15102</v>
      </c>
      <c r="K366" s="29">
        <f>I347*Dashboard!$I$4</f>
        <v>15750</v>
      </c>
      <c r="L366" s="48"/>
      <c r="M366" s="7">
        <f t="shared" si="82"/>
        <v>12</v>
      </c>
      <c r="N366" s="31">
        <f>M366*Dashboard!$I$3</f>
        <v>20136</v>
      </c>
      <c r="O366" s="18">
        <f>M345*Dashboard!$I$4</f>
        <v>21000</v>
      </c>
      <c r="P366" s="48"/>
      <c r="Q366" s="32">
        <f t="shared" si="71"/>
        <v>30</v>
      </c>
      <c r="R366" s="31">
        <f t="shared" si="72"/>
        <v>50340</v>
      </c>
      <c r="S366" s="31">
        <f t="shared" si="73"/>
        <v>52500</v>
      </c>
      <c r="T366" s="31">
        <f t="shared" si="74"/>
        <v>2160</v>
      </c>
      <c r="U366" s="31">
        <f>U365-R366+S366+V366-Custos!D366+Z365+AF365+AL365-AB365-AH365-AM365</f>
        <v>238515.39579355944</v>
      </c>
      <c r="V366" s="31">
        <f>U365*(((1+Dashboard!$C$17)^(1/30))-1)</f>
        <v>89.447576986656557</v>
      </c>
      <c r="W366" s="29">
        <f t="shared" si="75"/>
        <v>288855.39579355944</v>
      </c>
      <c r="X366" s="45">
        <f>-R366+S366-Custos!D366</f>
        <v>656.59999999999991</v>
      </c>
      <c r="Z366" s="83">
        <v>0</v>
      </c>
      <c r="AA366" s="33">
        <f>AC365*(((1+Dashboard!$C$20)^(1/30))-1)</f>
        <v>324.32368882962379</v>
      </c>
      <c r="AB366" s="84">
        <v>0</v>
      </c>
      <c r="AC366" s="18">
        <f t="shared" si="83"/>
        <v>707934.32368883409</v>
      </c>
      <c r="AD366" s="47">
        <f t="shared" si="76"/>
        <v>0</v>
      </c>
      <c r="AF366" s="83">
        <v>0</v>
      </c>
      <c r="AG366" s="33">
        <f>AI365*(((1+Dashboard!$C$21)^(1/30))-1)</f>
        <v>61.529128224665961</v>
      </c>
      <c r="AH366" s="84">
        <v>0</v>
      </c>
      <c r="AI366" s="29">
        <f t="shared" si="84"/>
        <v>120286.5291282219</v>
      </c>
      <c r="AJ366" s="45">
        <f t="shared" si="77"/>
        <v>0</v>
      </c>
      <c r="AL366" s="83">
        <v>0</v>
      </c>
      <c r="AM366" s="22">
        <v>0</v>
      </c>
      <c r="AN366" s="45">
        <f t="shared" si="78"/>
        <v>0</v>
      </c>
    </row>
    <row r="367" spans="2:40" x14ac:dyDescent="0.25">
      <c r="B367" s="53">
        <f>B366*(((1+Dashboard!$C$20)^(1/30)))</f>
        <v>1180431.326711901</v>
      </c>
      <c r="C367" s="1">
        <v>363</v>
      </c>
      <c r="D367" s="51">
        <f t="shared" si="79"/>
        <v>46536</v>
      </c>
      <c r="E367" s="7">
        <f t="shared" si="80"/>
        <v>9</v>
      </c>
      <c r="F367" s="31">
        <f>E367*Dashboard!$I$3</f>
        <v>15102</v>
      </c>
      <c r="G367" s="18">
        <f>E350*Dashboard!$I$4</f>
        <v>15750</v>
      </c>
      <c r="H367" s="48"/>
      <c r="I367" s="7">
        <f t="shared" si="81"/>
        <v>9</v>
      </c>
      <c r="J367" s="31">
        <f>I367*Dashboard!$I$3</f>
        <v>15102</v>
      </c>
      <c r="K367" s="29">
        <f>I348*Dashboard!$I$4</f>
        <v>15750</v>
      </c>
      <c r="L367" s="48"/>
      <c r="M367" s="7">
        <f t="shared" si="82"/>
        <v>12</v>
      </c>
      <c r="N367" s="31">
        <f>M367*Dashboard!$I$3</f>
        <v>20136</v>
      </c>
      <c r="O367" s="18">
        <f>M346*Dashboard!$I$4</f>
        <v>21000</v>
      </c>
      <c r="P367" s="48"/>
      <c r="Q367" s="32">
        <f t="shared" si="71"/>
        <v>30</v>
      </c>
      <c r="R367" s="31">
        <f t="shared" si="72"/>
        <v>50340</v>
      </c>
      <c r="S367" s="31">
        <f t="shared" si="73"/>
        <v>52500</v>
      </c>
      <c r="T367" s="31">
        <f t="shared" si="74"/>
        <v>2160</v>
      </c>
      <c r="U367" s="31">
        <f>U366-R367+S367+V367-Custos!D367+Z366+AF366+AL366-AB366-AH366-AM366</f>
        <v>239261.72402971674</v>
      </c>
      <c r="V367" s="31">
        <f>U366*(((1+Dashboard!$C$17)^(1/30))-1)</f>
        <v>89.728236157313987</v>
      </c>
      <c r="W367" s="29">
        <f t="shared" si="75"/>
        <v>289601.72402971674</v>
      </c>
      <c r="X367" s="45">
        <f>-R367+S367-Custos!D367</f>
        <v>656.59999999999991</v>
      </c>
      <c r="Z367" s="83">
        <v>0</v>
      </c>
      <c r="AA367" s="33">
        <f>AC366*(((1+Dashboard!$C$20)^(1/30))-1)</f>
        <v>324.47233830480934</v>
      </c>
      <c r="AB367" s="84">
        <v>0</v>
      </c>
      <c r="AC367" s="18">
        <f t="shared" si="83"/>
        <v>708258.79602713895</v>
      </c>
      <c r="AD367" s="47">
        <f t="shared" si="76"/>
        <v>0</v>
      </c>
      <c r="AF367" s="83">
        <v>0</v>
      </c>
      <c r="AG367" s="33">
        <f>AI366*(((1+Dashboard!$C$21)^(1/30))-1)</f>
        <v>61.560617795221901</v>
      </c>
      <c r="AH367" s="84">
        <v>0</v>
      </c>
      <c r="AI367" s="29">
        <f t="shared" si="84"/>
        <v>120348.08974601713</v>
      </c>
      <c r="AJ367" s="45">
        <f t="shared" si="77"/>
        <v>0</v>
      </c>
      <c r="AL367" s="83">
        <v>0</v>
      </c>
      <c r="AM367" s="22">
        <v>0</v>
      </c>
      <c r="AN367" s="45">
        <f t="shared" si="78"/>
        <v>0</v>
      </c>
    </row>
    <row r="368" spans="2:40" x14ac:dyDescent="0.25">
      <c r="B368" s="53">
        <f>B367*(((1+Dashboard!$C$20)^(1/30)))</f>
        <v>1180972.361805087</v>
      </c>
      <c r="C368" s="1">
        <v>364</v>
      </c>
      <c r="D368" s="51">
        <f t="shared" si="79"/>
        <v>46537</v>
      </c>
      <c r="E368" s="7">
        <f t="shared" si="80"/>
        <v>9</v>
      </c>
      <c r="F368" s="31">
        <f>E368*Dashboard!$I$3</f>
        <v>15102</v>
      </c>
      <c r="G368" s="18">
        <f>E351*Dashboard!$I$4</f>
        <v>15750</v>
      </c>
      <c r="H368" s="48"/>
      <c r="I368" s="7">
        <f t="shared" si="81"/>
        <v>9</v>
      </c>
      <c r="J368" s="31">
        <f>I368*Dashboard!$I$3</f>
        <v>15102</v>
      </c>
      <c r="K368" s="29">
        <f>I349*Dashboard!$I$4</f>
        <v>15750</v>
      </c>
      <c r="L368" s="48"/>
      <c r="M368" s="7">
        <f t="shared" si="82"/>
        <v>12</v>
      </c>
      <c r="N368" s="31">
        <f>M368*Dashboard!$I$3</f>
        <v>20136</v>
      </c>
      <c r="O368" s="18">
        <f>M347*Dashboard!$I$4</f>
        <v>21000</v>
      </c>
      <c r="P368" s="48"/>
      <c r="Q368" s="32">
        <f t="shared" si="71"/>
        <v>30</v>
      </c>
      <c r="R368" s="31">
        <f t="shared" si="72"/>
        <v>50340</v>
      </c>
      <c r="S368" s="31">
        <f t="shared" si="73"/>
        <v>52500</v>
      </c>
      <c r="T368" s="31">
        <f t="shared" si="74"/>
        <v>2160</v>
      </c>
      <c r="U368" s="31">
        <f>U367-R368+S368+V368-Custos!D368+Z367+AF367+AL367-AB367-AH367-AM367</f>
        <v>240008.33303062723</v>
      </c>
      <c r="V368" s="31">
        <f>U367*(((1+Dashboard!$C$17)^(1/30))-1)</f>
        <v>90.009000910473802</v>
      </c>
      <c r="W368" s="29">
        <f t="shared" si="75"/>
        <v>290348.33303062723</v>
      </c>
      <c r="X368" s="45">
        <f>-R368+S368-Custos!D368</f>
        <v>656.59999999999991</v>
      </c>
      <c r="Z368" s="83">
        <v>0</v>
      </c>
      <c r="AA368" s="33">
        <f>AC367*(((1+Dashboard!$C$20)^(1/30))-1)</f>
        <v>324.62105591151675</v>
      </c>
      <c r="AB368" s="84">
        <v>0</v>
      </c>
      <c r="AC368" s="18">
        <f t="shared" si="83"/>
        <v>708583.41708305047</v>
      </c>
      <c r="AD368" s="47">
        <f t="shared" si="76"/>
        <v>0</v>
      </c>
      <c r="AF368" s="83">
        <v>0</v>
      </c>
      <c r="AG368" s="33">
        <f>AI367*(((1+Dashboard!$C$21)^(1/30))-1)</f>
        <v>61.592123481609192</v>
      </c>
      <c r="AH368" s="84">
        <v>0</v>
      </c>
      <c r="AI368" s="29">
        <f t="shared" si="84"/>
        <v>120409.68186949873</v>
      </c>
      <c r="AJ368" s="45">
        <f t="shared" si="77"/>
        <v>0</v>
      </c>
      <c r="AL368" s="83">
        <v>0</v>
      </c>
      <c r="AM368" s="22">
        <v>0</v>
      </c>
      <c r="AN368" s="45">
        <f t="shared" si="78"/>
        <v>0</v>
      </c>
    </row>
    <row r="369" spans="2:40" x14ac:dyDescent="0.25">
      <c r="B369" s="53">
        <f>B368*(((1+Dashboard!$C$20)^(1/30)))</f>
        <v>1181513.6448745553</v>
      </c>
      <c r="C369" s="1">
        <v>365</v>
      </c>
      <c r="D369" s="51">
        <f t="shared" si="79"/>
        <v>46538</v>
      </c>
      <c r="E369" s="7">
        <f t="shared" si="80"/>
        <v>9</v>
      </c>
      <c r="F369" s="31">
        <f>E369*Dashboard!$I$3</f>
        <v>15102</v>
      </c>
      <c r="G369" s="18">
        <f>E352*Dashboard!$I$4</f>
        <v>15750</v>
      </c>
      <c r="H369" s="48"/>
      <c r="I369" s="7">
        <f t="shared" si="81"/>
        <v>9</v>
      </c>
      <c r="J369" s="31">
        <f>I369*Dashboard!$I$3</f>
        <v>15102</v>
      </c>
      <c r="K369" s="29">
        <f>I350*Dashboard!$I$4</f>
        <v>15750</v>
      </c>
      <c r="L369" s="48"/>
      <c r="M369" s="7">
        <f t="shared" si="82"/>
        <v>12</v>
      </c>
      <c r="N369" s="31">
        <f>M369*Dashboard!$I$3</f>
        <v>20136</v>
      </c>
      <c r="O369" s="18">
        <f>M348*Dashboard!$I$4</f>
        <v>21000</v>
      </c>
      <c r="P369" s="48"/>
      <c r="Q369" s="32">
        <f t="shared" si="71"/>
        <v>30</v>
      </c>
      <c r="R369" s="31">
        <f t="shared" si="72"/>
        <v>50340</v>
      </c>
      <c r="S369" s="31">
        <f t="shared" si="73"/>
        <v>52500</v>
      </c>
      <c r="T369" s="31">
        <f t="shared" si="74"/>
        <v>2160</v>
      </c>
      <c r="U369" s="31">
        <f>U368-R369+S369+V369-Custos!D369+Z368+AF368+AL368-AB368-AH368-AM368</f>
        <v>240755.22290191308</v>
      </c>
      <c r="V369" s="31">
        <f>U368*(((1+Dashboard!$C$17)^(1/30))-1)</f>
        <v>90.289871285855597</v>
      </c>
      <c r="W369" s="29">
        <f t="shared" si="75"/>
        <v>291095.2229019131</v>
      </c>
      <c r="X369" s="45">
        <f>-R369+S369-Custos!D369</f>
        <v>656.59999999999991</v>
      </c>
      <c r="Z369" s="83">
        <v>0</v>
      </c>
      <c r="AA369" s="33">
        <f>AC368*(((1+Dashboard!$C$20)^(1/30))-1)</f>
        <v>324.76984168097306</v>
      </c>
      <c r="AB369" s="84">
        <v>0</v>
      </c>
      <c r="AC369" s="18">
        <f t="shared" si="83"/>
        <v>708908.18692473148</v>
      </c>
      <c r="AD369" s="47">
        <f t="shared" si="76"/>
        <v>0</v>
      </c>
      <c r="AF369" s="83">
        <v>0</v>
      </c>
      <c r="AG369" s="33">
        <f>AI368*(((1+Dashboard!$C$21)^(1/30))-1)</f>
        <v>61.623645292075643</v>
      </c>
      <c r="AH369" s="84">
        <v>0</v>
      </c>
      <c r="AI369" s="29">
        <f t="shared" si="84"/>
        <v>120471.3055147908</v>
      </c>
      <c r="AJ369" s="45">
        <f t="shared" si="77"/>
        <v>0</v>
      </c>
      <c r="AL369" s="83">
        <v>0</v>
      </c>
      <c r="AM369" s="22">
        <v>0</v>
      </c>
      <c r="AN369" s="45">
        <f t="shared" si="78"/>
        <v>0</v>
      </c>
    </row>
    <row r="370" spans="2:40" x14ac:dyDescent="0.25">
      <c r="B370" s="53">
        <f>B369*(((1+Dashboard!$C$20)^(1/30)))</f>
        <v>1182055.1760339628</v>
      </c>
      <c r="C370" s="1">
        <v>366</v>
      </c>
      <c r="D370" s="51">
        <f t="shared" si="79"/>
        <v>46539</v>
      </c>
      <c r="E370" s="7">
        <f t="shared" si="80"/>
        <v>9</v>
      </c>
      <c r="F370" s="31">
        <f>E370*Dashboard!$I$3</f>
        <v>15102</v>
      </c>
      <c r="G370" s="18">
        <f>E353*Dashboard!$I$4</f>
        <v>15750</v>
      </c>
      <c r="H370" s="48"/>
      <c r="I370" s="7">
        <f t="shared" si="81"/>
        <v>9</v>
      </c>
      <c r="J370" s="31">
        <f>I370*Dashboard!$I$3</f>
        <v>15102</v>
      </c>
      <c r="K370" s="29">
        <f>I351*Dashboard!$I$4</f>
        <v>15750</v>
      </c>
      <c r="L370" s="48"/>
      <c r="M370" s="7">
        <f t="shared" si="82"/>
        <v>12</v>
      </c>
      <c r="N370" s="31">
        <f>M370*Dashboard!$I$3</f>
        <v>20136</v>
      </c>
      <c r="O370" s="18">
        <f>M349*Dashboard!$I$4</f>
        <v>21000</v>
      </c>
      <c r="P370" s="48"/>
      <c r="Q370" s="32">
        <f t="shared" si="71"/>
        <v>30</v>
      </c>
      <c r="R370" s="31">
        <f t="shared" si="72"/>
        <v>50340</v>
      </c>
      <c r="S370" s="31">
        <f t="shared" si="73"/>
        <v>52500</v>
      </c>
      <c r="T370" s="31">
        <f t="shared" si="74"/>
        <v>2160</v>
      </c>
      <c r="U370" s="31">
        <f>U369-R370+S370+V370-Custos!D370+Z369+AF369+AL369-AB369-AH369-AM369</f>
        <v>241502.39374923627</v>
      </c>
      <c r="V370" s="31">
        <f>U369*(((1+Dashboard!$C$17)^(1/30))-1)</f>
        <v>90.57084732319386</v>
      </c>
      <c r="W370" s="29">
        <f t="shared" si="75"/>
        <v>291842.39374923625</v>
      </c>
      <c r="X370" s="45">
        <f>-R370+S370-Custos!D370</f>
        <v>656.59999999999991</v>
      </c>
      <c r="Z370" s="83">
        <v>0</v>
      </c>
      <c r="AA370" s="33">
        <f>AC369*(((1+Dashboard!$C$20)^(1/30))-1)</f>
        <v>324.91869564441987</v>
      </c>
      <c r="AB370" s="84">
        <v>0</v>
      </c>
      <c r="AC370" s="18">
        <f t="shared" si="83"/>
        <v>709233.10562037595</v>
      </c>
      <c r="AD370" s="47">
        <f t="shared" si="76"/>
        <v>0</v>
      </c>
      <c r="AF370" s="83">
        <v>0</v>
      </c>
      <c r="AG370" s="33">
        <f>AI369*(((1+Dashboard!$C$21)^(1/30))-1)</f>
        <v>61.655183234873292</v>
      </c>
      <c r="AH370" s="84">
        <v>0</v>
      </c>
      <c r="AI370" s="29">
        <f t="shared" si="84"/>
        <v>120532.96069802568</v>
      </c>
      <c r="AJ370" s="45">
        <f t="shared" si="77"/>
        <v>0</v>
      </c>
      <c r="AL370" s="83">
        <v>0</v>
      </c>
      <c r="AM370" s="22">
        <v>0</v>
      </c>
      <c r="AN370" s="45">
        <f t="shared" si="78"/>
        <v>0</v>
      </c>
    </row>
    <row r="371" spans="2:40" x14ac:dyDescent="0.25">
      <c r="B371" s="53">
        <f>B370*(((1+Dashboard!$C$20)^(1/30)))</f>
        <v>1182596.955397018</v>
      </c>
      <c r="C371" s="1">
        <v>367</v>
      </c>
      <c r="D371" s="51">
        <f t="shared" si="79"/>
        <v>46540</v>
      </c>
      <c r="E371" s="7">
        <f t="shared" si="80"/>
        <v>9</v>
      </c>
      <c r="F371" s="31">
        <f>E371*Dashboard!$I$3</f>
        <v>15102</v>
      </c>
      <c r="G371" s="18">
        <f>E354*Dashboard!$I$4</f>
        <v>15750</v>
      </c>
      <c r="H371" s="48"/>
      <c r="I371" s="7">
        <f t="shared" si="81"/>
        <v>9</v>
      </c>
      <c r="J371" s="31">
        <f>I371*Dashboard!$I$3</f>
        <v>15102</v>
      </c>
      <c r="K371" s="29">
        <f>I352*Dashboard!$I$4</f>
        <v>15750</v>
      </c>
      <c r="L371" s="48"/>
      <c r="M371" s="7">
        <f t="shared" si="82"/>
        <v>12</v>
      </c>
      <c r="N371" s="31">
        <f>M371*Dashboard!$I$3</f>
        <v>20136</v>
      </c>
      <c r="O371" s="18">
        <f>M350*Dashboard!$I$4</f>
        <v>21000</v>
      </c>
      <c r="P371" s="48"/>
      <c r="Q371" s="32">
        <f t="shared" si="71"/>
        <v>30</v>
      </c>
      <c r="R371" s="31">
        <f t="shared" si="72"/>
        <v>50340</v>
      </c>
      <c r="S371" s="31">
        <f t="shared" si="73"/>
        <v>52500</v>
      </c>
      <c r="T371" s="31">
        <f t="shared" si="74"/>
        <v>2160</v>
      </c>
      <c r="U371" s="31">
        <f>U370-R371+S371+V371-Custos!D371+Z370+AF370+AL370-AB370-AH370-AM370</f>
        <v>242249.84567829853</v>
      </c>
      <c r="V371" s="31">
        <f>U370*(((1+Dashboard!$C$17)^(1/30))-1)</f>
        <v>90.851929062238085</v>
      </c>
      <c r="W371" s="29">
        <f t="shared" si="75"/>
        <v>292589.8456782985</v>
      </c>
      <c r="X371" s="45">
        <f>-R371+S371-Custos!D371</f>
        <v>656.59999999999991</v>
      </c>
      <c r="Z371" s="83">
        <v>0</v>
      </c>
      <c r="AA371" s="33">
        <f>AC370*(((1+Dashboard!$C$20)^(1/30))-1)</f>
        <v>325.06761783311293</v>
      </c>
      <c r="AB371" s="84">
        <v>0</v>
      </c>
      <c r="AC371" s="18">
        <f t="shared" si="83"/>
        <v>709558.1732382091</v>
      </c>
      <c r="AD371" s="47">
        <f t="shared" si="76"/>
        <v>0</v>
      </c>
      <c r="AF371" s="83">
        <v>0</v>
      </c>
      <c r="AG371" s="33">
        <f>AI370*(((1+Dashboard!$C$21)^(1/30))-1)</f>
        <v>61.686737318258395</v>
      </c>
      <c r="AH371" s="84">
        <v>0</v>
      </c>
      <c r="AI371" s="29">
        <f t="shared" si="84"/>
        <v>120594.64743534394</v>
      </c>
      <c r="AJ371" s="45">
        <f t="shared" si="77"/>
        <v>0</v>
      </c>
      <c r="AL371" s="83">
        <v>0</v>
      </c>
      <c r="AM371" s="22">
        <v>0</v>
      </c>
      <c r="AN371" s="45">
        <f t="shared" si="78"/>
        <v>0</v>
      </c>
    </row>
    <row r="372" spans="2:40" x14ac:dyDescent="0.25">
      <c r="B372" s="53">
        <f>B371*(((1+Dashboard!$C$20)^(1/30)))</f>
        <v>1183138.9830774819</v>
      </c>
      <c r="C372" s="1">
        <v>368</v>
      </c>
      <c r="D372" s="51">
        <f t="shared" si="79"/>
        <v>46541</v>
      </c>
      <c r="E372" s="7">
        <f t="shared" si="80"/>
        <v>9</v>
      </c>
      <c r="F372" s="31">
        <f>E372*Dashboard!$I$3</f>
        <v>15102</v>
      </c>
      <c r="G372" s="18">
        <f>E355*Dashboard!$I$4</f>
        <v>15750</v>
      </c>
      <c r="H372" s="48"/>
      <c r="I372" s="7">
        <f t="shared" si="81"/>
        <v>9</v>
      </c>
      <c r="J372" s="31">
        <f>I372*Dashboard!$I$3</f>
        <v>15102</v>
      </c>
      <c r="K372" s="29">
        <f>I353*Dashboard!$I$4</f>
        <v>15750</v>
      </c>
      <c r="L372" s="48"/>
      <c r="M372" s="7">
        <f t="shared" si="82"/>
        <v>12</v>
      </c>
      <c r="N372" s="31">
        <f>M372*Dashboard!$I$3</f>
        <v>20136</v>
      </c>
      <c r="O372" s="18">
        <f>M351*Dashboard!$I$4</f>
        <v>21000</v>
      </c>
      <c r="P372" s="48"/>
      <c r="Q372" s="32">
        <f t="shared" si="71"/>
        <v>30</v>
      </c>
      <c r="R372" s="31">
        <f t="shared" si="72"/>
        <v>50340</v>
      </c>
      <c r="S372" s="31">
        <f t="shared" si="73"/>
        <v>52500</v>
      </c>
      <c r="T372" s="31">
        <f t="shared" si="74"/>
        <v>2160</v>
      </c>
      <c r="U372" s="31">
        <f>U371-R372+S372+V372-Custos!D372+Z371+AF371+AL371-AB371-AH371-AM371</f>
        <v>242997.57879484128</v>
      </c>
      <c r="V372" s="31">
        <f>U371*(((1+Dashboard!$C$17)^(1/30))-1)</f>
        <v>91.133116542752703</v>
      </c>
      <c r="W372" s="29">
        <f t="shared" si="75"/>
        <v>293337.57879484131</v>
      </c>
      <c r="X372" s="45">
        <f>-R372+S372-Custos!D372</f>
        <v>656.59999999999991</v>
      </c>
      <c r="Z372" s="83">
        <v>0</v>
      </c>
      <c r="AA372" s="33">
        <f>AC371*(((1+Dashboard!$C$20)^(1/30))-1)</f>
        <v>325.2166082783225</v>
      </c>
      <c r="AB372" s="84">
        <v>0</v>
      </c>
      <c r="AC372" s="18">
        <f t="shared" si="83"/>
        <v>709883.38984648744</v>
      </c>
      <c r="AD372" s="47">
        <f t="shared" si="76"/>
        <v>0</v>
      </c>
      <c r="AF372" s="83">
        <v>0</v>
      </c>
      <c r="AG372" s="33">
        <f>AI371*(((1+Dashboard!$C$21)^(1/30))-1)</f>
        <v>61.718307550491431</v>
      </c>
      <c r="AH372" s="84">
        <v>0</v>
      </c>
      <c r="AI372" s="29">
        <f t="shared" si="84"/>
        <v>120656.36574289443</v>
      </c>
      <c r="AJ372" s="45">
        <f t="shared" si="77"/>
        <v>0</v>
      </c>
      <c r="AL372" s="83">
        <v>0</v>
      </c>
      <c r="AM372" s="22">
        <v>0</v>
      </c>
      <c r="AN372" s="45">
        <f t="shared" si="78"/>
        <v>0</v>
      </c>
    </row>
    <row r="373" spans="2:40" x14ac:dyDescent="0.25">
      <c r="B373" s="53">
        <f>B372*(((1+Dashboard!$C$20)^(1/30)))</f>
        <v>1183681.2591891675</v>
      </c>
      <c r="C373" s="1">
        <v>369</v>
      </c>
      <c r="D373" s="51">
        <f t="shared" si="79"/>
        <v>46542</v>
      </c>
      <c r="E373" s="7">
        <f t="shared" si="80"/>
        <v>9</v>
      </c>
      <c r="F373" s="31">
        <f>E373*Dashboard!$I$3</f>
        <v>15102</v>
      </c>
      <c r="G373" s="18">
        <f>E356*Dashboard!$I$4</f>
        <v>15750</v>
      </c>
      <c r="H373" s="48"/>
      <c r="I373" s="7">
        <f t="shared" si="81"/>
        <v>9</v>
      </c>
      <c r="J373" s="31">
        <f>I373*Dashboard!$I$3</f>
        <v>15102</v>
      </c>
      <c r="K373" s="29">
        <f>I354*Dashboard!$I$4</f>
        <v>15750</v>
      </c>
      <c r="L373" s="48"/>
      <c r="M373" s="7">
        <f t="shared" si="82"/>
        <v>12</v>
      </c>
      <c r="N373" s="31">
        <f>M373*Dashboard!$I$3</f>
        <v>20136</v>
      </c>
      <c r="O373" s="18">
        <f>M352*Dashboard!$I$4</f>
        <v>21000</v>
      </c>
      <c r="P373" s="48"/>
      <c r="Q373" s="32">
        <f t="shared" si="71"/>
        <v>30</v>
      </c>
      <c r="R373" s="31">
        <f t="shared" si="72"/>
        <v>50340</v>
      </c>
      <c r="S373" s="31">
        <f t="shared" si="73"/>
        <v>52500</v>
      </c>
      <c r="T373" s="31">
        <f t="shared" si="74"/>
        <v>2160</v>
      </c>
      <c r="U373" s="31">
        <f>U372-R373+S373+V373-Custos!D373+Z372+AF372+AL372-AB372-AH372-AM372</f>
        <v>243745.59320464579</v>
      </c>
      <c r="V373" s="31">
        <f>U372*(((1+Dashboard!$C$17)^(1/30))-1)</f>
        <v>91.414409804517078</v>
      </c>
      <c r="W373" s="29">
        <f t="shared" si="75"/>
        <v>294085.59320464579</v>
      </c>
      <c r="X373" s="45">
        <f>-R373+S373-Custos!D373</f>
        <v>656.59999999999991</v>
      </c>
      <c r="Z373" s="83">
        <v>0</v>
      </c>
      <c r="AA373" s="33">
        <f>AC372*(((1+Dashboard!$C$20)^(1/30))-1)</f>
        <v>325.36566701133285</v>
      </c>
      <c r="AB373" s="84">
        <v>0</v>
      </c>
      <c r="AC373" s="18">
        <f t="shared" si="83"/>
        <v>710208.75551349879</v>
      </c>
      <c r="AD373" s="47">
        <f t="shared" si="76"/>
        <v>0</v>
      </c>
      <c r="AF373" s="83">
        <v>0</v>
      </c>
      <c r="AG373" s="33">
        <f>AI372*(((1+Dashboard!$C$21)^(1/30))-1)</f>
        <v>61.749893939837101</v>
      </c>
      <c r="AH373" s="84">
        <v>0</v>
      </c>
      <c r="AI373" s="29">
        <f t="shared" si="84"/>
        <v>120718.11563683426</v>
      </c>
      <c r="AJ373" s="45">
        <f t="shared" si="77"/>
        <v>0</v>
      </c>
      <c r="AL373" s="83">
        <v>0</v>
      </c>
      <c r="AM373" s="22">
        <v>0</v>
      </c>
      <c r="AN373" s="45">
        <f t="shared" si="78"/>
        <v>0</v>
      </c>
    </row>
    <row r="374" spans="2:40" x14ac:dyDescent="0.25">
      <c r="B374" s="53">
        <f>B373*(((1+Dashboard!$C$20)^(1/30)))</f>
        <v>1184223.7838459399</v>
      </c>
      <c r="C374" s="1">
        <v>370</v>
      </c>
      <c r="D374" s="51">
        <f t="shared" si="79"/>
        <v>46543</v>
      </c>
      <c r="E374" s="7">
        <f t="shared" si="80"/>
        <v>9</v>
      </c>
      <c r="F374" s="31">
        <f>E374*Dashboard!$I$3</f>
        <v>15102</v>
      </c>
      <c r="G374" s="18">
        <f>E357*Dashboard!$I$4</f>
        <v>15750</v>
      </c>
      <c r="H374" s="48"/>
      <c r="I374" s="7">
        <f t="shared" si="81"/>
        <v>9</v>
      </c>
      <c r="J374" s="31">
        <f>I374*Dashboard!$I$3</f>
        <v>15102</v>
      </c>
      <c r="K374" s="29">
        <f>I355*Dashboard!$I$4</f>
        <v>15750</v>
      </c>
      <c r="L374" s="48"/>
      <c r="M374" s="7">
        <f t="shared" si="82"/>
        <v>12</v>
      </c>
      <c r="N374" s="31">
        <f>M374*Dashboard!$I$3</f>
        <v>20136</v>
      </c>
      <c r="O374" s="18">
        <f>M353*Dashboard!$I$4</f>
        <v>21000</v>
      </c>
      <c r="P374" s="48"/>
      <c r="Q374" s="32">
        <f t="shared" si="71"/>
        <v>30</v>
      </c>
      <c r="R374" s="31">
        <f t="shared" si="72"/>
        <v>50340</v>
      </c>
      <c r="S374" s="31">
        <f t="shared" si="73"/>
        <v>52500</v>
      </c>
      <c r="T374" s="31">
        <f t="shared" si="74"/>
        <v>2160</v>
      </c>
      <c r="U374" s="31">
        <f>U373-R374+S374+V374-Custos!D374+Z373+AF373+AL373-AB373-AH373-AM373</f>
        <v>244493.88901353313</v>
      </c>
      <c r="V374" s="31">
        <f>U373*(((1+Dashboard!$C$17)^(1/30))-1)</f>
        <v>91.695808887325583</v>
      </c>
      <c r="W374" s="29">
        <f t="shared" si="75"/>
        <v>294833.88901353313</v>
      </c>
      <c r="X374" s="45">
        <f>-R374+S374-Custos!D374</f>
        <v>656.59999999999991</v>
      </c>
      <c r="Z374" s="83">
        <v>0</v>
      </c>
      <c r="AA374" s="33">
        <f>AC373*(((1+Dashboard!$C$20)^(1/30))-1)</f>
        <v>325.51479406344299</v>
      </c>
      <c r="AB374" s="84">
        <v>0</v>
      </c>
      <c r="AC374" s="18">
        <f t="shared" si="83"/>
        <v>710534.2703075622</v>
      </c>
      <c r="AD374" s="47">
        <f t="shared" si="76"/>
        <v>0</v>
      </c>
      <c r="AF374" s="83">
        <v>0</v>
      </c>
      <c r="AG374" s="33">
        <f>AI373*(((1+Dashboard!$C$21)^(1/30))-1)</f>
        <v>61.781496494564351</v>
      </c>
      <c r="AH374" s="84">
        <v>0</v>
      </c>
      <c r="AI374" s="29">
        <f t="shared" si="84"/>
        <v>120779.89713332882</v>
      </c>
      <c r="AJ374" s="45">
        <f t="shared" si="77"/>
        <v>0</v>
      </c>
      <c r="AL374" s="83">
        <v>0</v>
      </c>
      <c r="AM374" s="22">
        <v>0</v>
      </c>
      <c r="AN374" s="45">
        <f t="shared" si="78"/>
        <v>0</v>
      </c>
    </row>
    <row r="375" spans="2:40" x14ac:dyDescent="0.25">
      <c r="B375" s="53">
        <f>B374*(((1+Dashboard!$C$20)^(1/30)))</f>
        <v>1184766.5571617165</v>
      </c>
      <c r="C375" s="1">
        <v>371</v>
      </c>
      <c r="D375" s="51">
        <f t="shared" si="79"/>
        <v>46544</v>
      </c>
      <c r="E375" s="7">
        <f t="shared" si="80"/>
        <v>9</v>
      </c>
      <c r="F375" s="31">
        <f>E375*Dashboard!$I$3</f>
        <v>15102</v>
      </c>
      <c r="G375" s="18">
        <f>E358*Dashboard!$I$4</f>
        <v>15750</v>
      </c>
      <c r="H375" s="48"/>
      <c r="I375" s="7">
        <f t="shared" si="81"/>
        <v>9</v>
      </c>
      <c r="J375" s="31">
        <f>I375*Dashboard!$I$3</f>
        <v>15102</v>
      </c>
      <c r="K375" s="29">
        <f>I356*Dashboard!$I$4</f>
        <v>15750</v>
      </c>
      <c r="L375" s="48"/>
      <c r="M375" s="7">
        <f t="shared" si="82"/>
        <v>12</v>
      </c>
      <c r="N375" s="31">
        <f>M375*Dashboard!$I$3</f>
        <v>20136</v>
      </c>
      <c r="O375" s="18">
        <f>M354*Dashboard!$I$4</f>
        <v>21000</v>
      </c>
      <c r="P375" s="48"/>
      <c r="Q375" s="32">
        <f t="shared" si="71"/>
        <v>30</v>
      </c>
      <c r="R375" s="31">
        <f t="shared" si="72"/>
        <v>50340</v>
      </c>
      <c r="S375" s="31">
        <f t="shared" si="73"/>
        <v>52500</v>
      </c>
      <c r="T375" s="31">
        <f t="shared" si="74"/>
        <v>2160</v>
      </c>
      <c r="U375" s="31">
        <f>U374-R375+S375+V375-Custos!D375+Z374+AF374+AL374-AB374-AH374-AM374</f>
        <v>245242.46632736412</v>
      </c>
      <c r="V375" s="31">
        <f>U374*(((1+Dashboard!$C$17)^(1/30))-1)</f>
        <v>91.977313830987526</v>
      </c>
      <c r="W375" s="29">
        <f t="shared" si="75"/>
        <v>295582.46632736409</v>
      </c>
      <c r="X375" s="45">
        <f>-R375+S375-Custos!D375</f>
        <v>656.59999999999991</v>
      </c>
      <c r="Z375" s="83">
        <v>0</v>
      </c>
      <c r="AA375" s="33">
        <f>AC374*(((1+Dashboard!$C$20)^(1/30))-1)</f>
        <v>325.66398946596593</v>
      </c>
      <c r="AB375" s="84">
        <v>0</v>
      </c>
      <c r="AC375" s="18">
        <f t="shared" si="83"/>
        <v>710859.93429702811</v>
      </c>
      <c r="AD375" s="47">
        <f t="shared" si="76"/>
        <v>0</v>
      </c>
      <c r="AF375" s="83">
        <v>0</v>
      </c>
      <c r="AG375" s="33">
        <f>AI374*(((1+Dashboard!$C$21)^(1/30))-1)</f>
        <v>61.813115222946351</v>
      </c>
      <c r="AH375" s="84">
        <v>0</v>
      </c>
      <c r="AI375" s="29">
        <f t="shared" si="84"/>
        <v>120841.71024855177</v>
      </c>
      <c r="AJ375" s="45">
        <f t="shared" si="77"/>
        <v>0</v>
      </c>
      <c r="AL375" s="83">
        <v>0</v>
      </c>
      <c r="AM375" s="22">
        <v>0</v>
      </c>
      <c r="AN375" s="45">
        <f t="shared" si="78"/>
        <v>0</v>
      </c>
    </row>
    <row r="376" spans="2:40" x14ac:dyDescent="0.25">
      <c r="B376" s="53">
        <f>B375*(((1+Dashboard!$C$20)^(1/30)))</f>
        <v>1185309.579250467</v>
      </c>
      <c r="C376" s="1">
        <v>372</v>
      </c>
      <c r="D376" s="51">
        <f t="shared" si="79"/>
        <v>46545</v>
      </c>
      <c r="E376" s="7">
        <f t="shared" si="80"/>
        <v>9</v>
      </c>
      <c r="F376" s="31">
        <f>E376*Dashboard!$I$3</f>
        <v>15102</v>
      </c>
      <c r="G376" s="18">
        <f>E359*Dashboard!$I$4</f>
        <v>15750</v>
      </c>
      <c r="H376" s="48"/>
      <c r="I376" s="7">
        <f t="shared" si="81"/>
        <v>9</v>
      </c>
      <c r="J376" s="31">
        <f>I376*Dashboard!$I$3</f>
        <v>15102</v>
      </c>
      <c r="K376" s="29">
        <f>I357*Dashboard!$I$4</f>
        <v>15750</v>
      </c>
      <c r="L376" s="48"/>
      <c r="M376" s="7">
        <f t="shared" si="82"/>
        <v>12</v>
      </c>
      <c r="N376" s="31">
        <f>M376*Dashboard!$I$3</f>
        <v>20136</v>
      </c>
      <c r="O376" s="18">
        <f>M355*Dashboard!$I$4</f>
        <v>21000</v>
      </c>
      <c r="P376" s="48"/>
      <c r="Q376" s="32">
        <f t="shared" si="71"/>
        <v>30</v>
      </c>
      <c r="R376" s="31">
        <f t="shared" si="72"/>
        <v>50340</v>
      </c>
      <c r="S376" s="31">
        <f t="shared" si="73"/>
        <v>52500</v>
      </c>
      <c r="T376" s="31">
        <f t="shared" si="74"/>
        <v>2160</v>
      </c>
      <c r="U376" s="31">
        <f>U375-R376+S376+V376-Custos!D376+Z375+AF375+AL375-AB375-AH375-AM375</f>
        <v>245991.32525203945</v>
      </c>
      <c r="V376" s="31">
        <f>U375*(((1+Dashboard!$C$17)^(1/30))-1)</f>
        <v>92.258924675327194</v>
      </c>
      <c r="W376" s="29">
        <f t="shared" si="75"/>
        <v>296331.32525203947</v>
      </c>
      <c r="X376" s="45">
        <f>-R376+S376-Custos!D376</f>
        <v>656.59999999999991</v>
      </c>
      <c r="Z376" s="83">
        <v>0</v>
      </c>
      <c r="AA376" s="33">
        <f>AC375*(((1+Dashboard!$C$20)^(1/30))-1)</f>
        <v>325.81325325022925</v>
      </c>
      <c r="AB376" s="84">
        <v>0</v>
      </c>
      <c r="AC376" s="18">
        <f t="shared" si="83"/>
        <v>711185.74755027832</v>
      </c>
      <c r="AD376" s="47">
        <f t="shared" si="76"/>
        <v>0</v>
      </c>
      <c r="AF376" s="83">
        <v>0</v>
      </c>
      <c r="AG376" s="33">
        <f>AI375*(((1+Dashboard!$C$21)^(1/30))-1)</f>
        <v>61.844750133260504</v>
      </c>
      <c r="AH376" s="84">
        <v>0</v>
      </c>
      <c r="AI376" s="29">
        <f t="shared" si="84"/>
        <v>120903.55499868502</v>
      </c>
      <c r="AJ376" s="45">
        <f t="shared" si="77"/>
        <v>0</v>
      </c>
      <c r="AL376" s="83">
        <v>0</v>
      </c>
      <c r="AM376" s="22">
        <v>0</v>
      </c>
      <c r="AN376" s="45">
        <f t="shared" si="78"/>
        <v>0</v>
      </c>
    </row>
    <row r="377" spans="2:40" x14ac:dyDescent="0.25">
      <c r="B377" s="53">
        <f>B376*(((1+Dashboard!$C$20)^(1/30)))</f>
        <v>1185852.850226213</v>
      </c>
      <c r="C377" s="1">
        <v>373</v>
      </c>
      <c r="D377" s="51">
        <f t="shared" si="79"/>
        <v>46546</v>
      </c>
      <c r="E377" s="7">
        <f t="shared" si="80"/>
        <v>9</v>
      </c>
      <c r="F377" s="31">
        <f>E377*Dashboard!$I$3</f>
        <v>15102</v>
      </c>
      <c r="G377" s="18">
        <f>E360*Dashboard!$I$4</f>
        <v>15750</v>
      </c>
      <c r="H377" s="48"/>
      <c r="I377" s="7">
        <f t="shared" si="81"/>
        <v>9</v>
      </c>
      <c r="J377" s="31">
        <f>I377*Dashboard!$I$3</f>
        <v>15102</v>
      </c>
      <c r="K377" s="29">
        <f>I358*Dashboard!$I$4</f>
        <v>15750</v>
      </c>
      <c r="L377" s="48"/>
      <c r="M377" s="7">
        <f t="shared" si="82"/>
        <v>12</v>
      </c>
      <c r="N377" s="31">
        <f>M377*Dashboard!$I$3</f>
        <v>20136</v>
      </c>
      <c r="O377" s="18">
        <f>M356*Dashboard!$I$4</f>
        <v>21000</v>
      </c>
      <c r="P377" s="48"/>
      <c r="Q377" s="32">
        <f t="shared" si="71"/>
        <v>30</v>
      </c>
      <c r="R377" s="31">
        <f t="shared" si="72"/>
        <v>50340</v>
      </c>
      <c r="S377" s="31">
        <f t="shared" si="73"/>
        <v>52500</v>
      </c>
      <c r="T377" s="31">
        <f t="shared" si="74"/>
        <v>2160</v>
      </c>
      <c r="U377" s="31">
        <f>U376-R377+S377+V377-Custos!D377+Z376+AF376+AL376-AB376-AH376-AM376</f>
        <v>246740.46589349964</v>
      </c>
      <c r="V377" s="31">
        <f>U376*(((1+Dashboard!$C$17)^(1/30))-1)</f>
        <v>92.540641460183863</v>
      </c>
      <c r="W377" s="29">
        <f t="shared" si="75"/>
        <v>297080.46589349967</v>
      </c>
      <c r="X377" s="45">
        <f>-R377+S377-Custos!D377</f>
        <v>656.59999999999991</v>
      </c>
      <c r="Z377" s="83">
        <v>0</v>
      </c>
      <c r="AA377" s="33">
        <f>AC376*(((1+Dashboard!$C$20)^(1/30))-1)</f>
        <v>325.96258544757478</v>
      </c>
      <c r="AB377" s="84">
        <v>0</v>
      </c>
      <c r="AC377" s="18">
        <f t="shared" si="83"/>
        <v>711511.71013572591</v>
      </c>
      <c r="AD377" s="47">
        <f t="shared" si="76"/>
        <v>0</v>
      </c>
      <c r="AF377" s="83">
        <v>0</v>
      </c>
      <c r="AG377" s="33">
        <f>AI376*(((1+Dashboard!$C$21)^(1/30))-1)</f>
        <v>61.876401233788442</v>
      </c>
      <c r="AH377" s="84">
        <v>0</v>
      </c>
      <c r="AI377" s="29">
        <f t="shared" si="84"/>
        <v>120965.43139991882</v>
      </c>
      <c r="AJ377" s="45">
        <f t="shared" si="77"/>
        <v>0</v>
      </c>
      <c r="AL377" s="83">
        <v>0</v>
      </c>
      <c r="AM377" s="22">
        <v>0</v>
      </c>
      <c r="AN377" s="45">
        <f t="shared" si="78"/>
        <v>0</v>
      </c>
    </row>
    <row r="378" spans="2:40" x14ac:dyDescent="0.25">
      <c r="B378" s="53">
        <f>B377*(((1+Dashboard!$C$20)^(1/30)))</f>
        <v>1186396.3702030287</v>
      </c>
      <c r="C378" s="1">
        <v>374</v>
      </c>
      <c r="D378" s="51">
        <f t="shared" si="79"/>
        <v>46547</v>
      </c>
      <c r="E378" s="7">
        <f t="shared" si="80"/>
        <v>9</v>
      </c>
      <c r="F378" s="31">
        <f>E378*Dashboard!$I$3</f>
        <v>15102</v>
      </c>
      <c r="G378" s="18">
        <f>E361*Dashboard!$I$4</f>
        <v>15750</v>
      </c>
      <c r="H378" s="48"/>
      <c r="I378" s="7">
        <f t="shared" si="81"/>
        <v>9</v>
      </c>
      <c r="J378" s="31">
        <f>I378*Dashboard!$I$3</f>
        <v>15102</v>
      </c>
      <c r="K378" s="29">
        <f>I359*Dashboard!$I$4</f>
        <v>15750</v>
      </c>
      <c r="L378" s="48"/>
      <c r="M378" s="7">
        <f t="shared" si="82"/>
        <v>12</v>
      </c>
      <c r="N378" s="31">
        <f>M378*Dashboard!$I$3</f>
        <v>20136</v>
      </c>
      <c r="O378" s="18">
        <f>M357*Dashboard!$I$4</f>
        <v>21000</v>
      </c>
      <c r="P378" s="48"/>
      <c r="Q378" s="32">
        <f t="shared" si="71"/>
        <v>30</v>
      </c>
      <c r="R378" s="31">
        <f t="shared" si="72"/>
        <v>50340</v>
      </c>
      <c r="S378" s="31">
        <f t="shared" si="73"/>
        <v>52500</v>
      </c>
      <c r="T378" s="31">
        <f t="shared" si="74"/>
        <v>2160</v>
      </c>
      <c r="U378" s="31">
        <f>U377-R378+S378+V378-Custos!D378+Z377+AF377+AL377-AB377-AH377-AM377</f>
        <v>247489.88835772505</v>
      </c>
      <c r="V378" s="31">
        <f>U377*(((1+Dashboard!$C$17)^(1/30))-1)</f>
        <v>92.822464225411835</v>
      </c>
      <c r="W378" s="29">
        <f t="shared" si="75"/>
        <v>297829.88835772505</v>
      </c>
      <c r="X378" s="45">
        <f>-R378+S378-Custos!D378</f>
        <v>656.59999999999991</v>
      </c>
      <c r="Z378" s="83">
        <v>0</v>
      </c>
      <c r="AA378" s="33">
        <f>AC377*(((1+Dashboard!$C$20)^(1/30))-1)</f>
        <v>326.11198608935882</v>
      </c>
      <c r="AB378" s="84">
        <v>0</v>
      </c>
      <c r="AC378" s="18">
        <f t="shared" si="83"/>
        <v>711837.82212181529</v>
      </c>
      <c r="AD378" s="47">
        <f t="shared" si="76"/>
        <v>0</v>
      </c>
      <c r="AF378" s="83">
        <v>0</v>
      </c>
      <c r="AG378" s="33">
        <f>AI377*(((1+Dashboard!$C$21)^(1/30))-1)</f>
        <v>61.90806853281606</v>
      </c>
      <c r="AH378" s="84">
        <v>0</v>
      </c>
      <c r="AI378" s="29">
        <f t="shared" si="84"/>
        <v>121027.33946845164</v>
      </c>
      <c r="AJ378" s="45">
        <f t="shared" si="77"/>
        <v>0</v>
      </c>
      <c r="AL378" s="83">
        <v>0</v>
      </c>
      <c r="AM378" s="22">
        <v>0</v>
      </c>
      <c r="AN378" s="45">
        <f t="shared" si="78"/>
        <v>0</v>
      </c>
    </row>
    <row r="379" spans="2:40" x14ac:dyDescent="0.25">
      <c r="B379" s="53">
        <f>B378*(((1+Dashboard!$C$20)^(1/30)))</f>
        <v>1186940.1392950402</v>
      </c>
      <c r="C379" s="1">
        <v>375</v>
      </c>
      <c r="D379" s="51">
        <f t="shared" si="79"/>
        <v>46548</v>
      </c>
      <c r="E379" s="7">
        <v>0</v>
      </c>
      <c r="F379" s="31">
        <f>E379*Dashboard!$I$3</f>
        <v>0</v>
      </c>
      <c r="G379" s="18">
        <f>E362*Dashboard!$I$4</f>
        <v>15750</v>
      </c>
      <c r="H379" s="48"/>
      <c r="I379" s="7">
        <v>0</v>
      </c>
      <c r="J379" s="31">
        <f>I379*Dashboard!$I$3</f>
        <v>0</v>
      </c>
      <c r="K379" s="29">
        <f>I360*Dashboard!$I$4</f>
        <v>15750</v>
      </c>
      <c r="L379" s="48"/>
      <c r="M379" s="7">
        <v>0</v>
      </c>
      <c r="N379" s="31">
        <f>M379*Dashboard!$I$3</f>
        <v>0</v>
      </c>
      <c r="O379" s="18">
        <f>M358*Dashboard!$I$4</f>
        <v>21000</v>
      </c>
      <c r="P379" s="48"/>
      <c r="Q379" s="32">
        <f t="shared" si="71"/>
        <v>0</v>
      </c>
      <c r="R379" s="31">
        <f t="shared" si="72"/>
        <v>0</v>
      </c>
      <c r="S379" s="31">
        <f t="shared" si="73"/>
        <v>52500</v>
      </c>
      <c r="T379" s="31">
        <f t="shared" si="74"/>
        <v>2160</v>
      </c>
      <c r="U379" s="31">
        <f>U378-R379+S379+V379-Custos!D379+Z378+AF378+AL378-AB378-AH378-AM378</f>
        <v>298579.59275073593</v>
      </c>
      <c r="V379" s="31">
        <f>U378*(((1+Dashboard!$C$17)^(1/30))-1)</f>
        <v>93.104393010880315</v>
      </c>
      <c r="W379" s="29">
        <f t="shared" si="75"/>
        <v>298579.59275073593</v>
      </c>
      <c r="X379" s="45">
        <f>-R379+S379-Custos!D379</f>
        <v>50996.6</v>
      </c>
      <c r="Z379" s="83">
        <v>0</v>
      </c>
      <c r="AA379" s="33">
        <f>AC378*(((1+Dashboard!$C$20)^(1/30))-1)</f>
        <v>326.26145520695195</v>
      </c>
      <c r="AB379" s="84">
        <v>0</v>
      </c>
      <c r="AC379" s="18">
        <f t="shared" si="83"/>
        <v>712164.08357702219</v>
      </c>
      <c r="AD379" s="47">
        <f t="shared" si="76"/>
        <v>0</v>
      </c>
      <c r="AF379" s="83">
        <v>0</v>
      </c>
      <c r="AG379" s="33">
        <f>AI378*(((1+Dashboard!$C$21)^(1/30))-1)</f>
        <v>61.939752038633465</v>
      </c>
      <c r="AH379" s="84">
        <v>0</v>
      </c>
      <c r="AI379" s="29">
        <f t="shared" si="84"/>
        <v>121089.27922049027</v>
      </c>
      <c r="AJ379" s="45">
        <f t="shared" si="77"/>
        <v>0</v>
      </c>
      <c r="AL379" s="83">
        <v>0</v>
      </c>
      <c r="AM379" s="22">
        <v>0</v>
      </c>
      <c r="AN379" s="45">
        <f t="shared" si="78"/>
        <v>0</v>
      </c>
    </row>
    <row r="380" spans="2:40" x14ac:dyDescent="0.25">
      <c r="B380" s="53">
        <f>B379*(((1+Dashboard!$C$20)^(1/30)))</f>
        <v>1187484.1576164265</v>
      </c>
      <c r="C380" s="1">
        <v>376</v>
      </c>
      <c r="D380" s="51">
        <f t="shared" si="79"/>
        <v>46549</v>
      </c>
      <c r="E380" s="7">
        <f t="shared" si="80"/>
        <v>0</v>
      </c>
      <c r="F380" s="31">
        <f>E380*Dashboard!$I$3</f>
        <v>0</v>
      </c>
      <c r="G380" s="18">
        <f>E363*Dashboard!$I$4</f>
        <v>15750</v>
      </c>
      <c r="H380" s="48"/>
      <c r="I380" s="7">
        <f t="shared" si="81"/>
        <v>0</v>
      </c>
      <c r="J380" s="31">
        <f>I380*Dashboard!$I$3</f>
        <v>0</v>
      </c>
      <c r="K380" s="29">
        <f>I361*Dashboard!$I$4</f>
        <v>15750</v>
      </c>
      <c r="L380" s="48"/>
      <c r="M380" s="7">
        <f t="shared" si="82"/>
        <v>0</v>
      </c>
      <c r="N380" s="31">
        <f>M380*Dashboard!$I$3</f>
        <v>0</v>
      </c>
      <c r="O380" s="18">
        <f>M359*Dashboard!$I$4</f>
        <v>21000</v>
      </c>
      <c r="P380" s="48"/>
      <c r="Q380" s="32">
        <f t="shared" si="71"/>
        <v>0</v>
      </c>
      <c r="R380" s="31">
        <f t="shared" si="72"/>
        <v>0</v>
      </c>
      <c r="S380" s="31">
        <f t="shared" si="73"/>
        <v>52500</v>
      </c>
      <c r="T380" s="31">
        <f t="shared" si="74"/>
        <v>2160</v>
      </c>
      <c r="U380" s="31">
        <f>U379-R380+S380+V380-Custos!D380+Z379+AF379+AL379-AB379-AH379-AM379</f>
        <v>350191.91682156146</v>
      </c>
      <c r="V380" s="31">
        <f>U379*(((1+Dashboard!$C$17)^(1/30))-1)</f>
        <v>112.32407082551985</v>
      </c>
      <c r="W380" s="29">
        <f t="shared" si="75"/>
        <v>350191.91682156146</v>
      </c>
      <c r="X380" s="45">
        <f>-R380+S380-Custos!D380</f>
        <v>51500</v>
      </c>
      <c r="Z380" s="83">
        <v>0</v>
      </c>
      <c r="AA380" s="33">
        <f>AC379*(((1+Dashboard!$C$20)^(1/30))-1)</f>
        <v>326.41099283173907</v>
      </c>
      <c r="AB380" s="84">
        <v>0</v>
      </c>
      <c r="AC380" s="18">
        <f t="shared" si="83"/>
        <v>712490.49456985388</v>
      </c>
      <c r="AD380" s="47">
        <f t="shared" si="76"/>
        <v>0</v>
      </c>
      <c r="AF380" s="83">
        <v>0</v>
      </c>
      <c r="AG380" s="33">
        <f>AI379*(((1+Dashboard!$C$21)^(1/30))-1)</f>
        <v>61.971451759535015</v>
      </c>
      <c r="AH380" s="84">
        <v>0</v>
      </c>
      <c r="AI380" s="29">
        <f t="shared" si="84"/>
        <v>121151.25067224981</v>
      </c>
      <c r="AJ380" s="45">
        <f t="shared" si="77"/>
        <v>0</v>
      </c>
      <c r="AL380" s="83">
        <v>0</v>
      </c>
      <c r="AM380" s="22">
        <v>0</v>
      </c>
      <c r="AN380" s="45">
        <f t="shared" si="78"/>
        <v>0</v>
      </c>
    </row>
    <row r="381" spans="2:40" x14ac:dyDescent="0.25">
      <c r="B381" s="53">
        <f>B380*(((1+Dashboard!$C$20)^(1/30)))</f>
        <v>1188028.4252814183</v>
      </c>
      <c r="C381" s="1">
        <v>377</v>
      </c>
      <c r="D381" s="51">
        <f t="shared" si="79"/>
        <v>46550</v>
      </c>
      <c r="E381" s="7">
        <f t="shared" si="80"/>
        <v>0</v>
      </c>
      <c r="F381" s="31">
        <f>E381*Dashboard!$I$3</f>
        <v>0</v>
      </c>
      <c r="G381" s="18">
        <f>E364*Dashboard!$I$4</f>
        <v>15750</v>
      </c>
      <c r="H381" s="48"/>
      <c r="I381" s="7">
        <f t="shared" si="81"/>
        <v>0</v>
      </c>
      <c r="J381" s="31">
        <f>I381*Dashboard!$I$3</f>
        <v>0</v>
      </c>
      <c r="K381" s="29">
        <f>I362*Dashboard!$I$4</f>
        <v>15750</v>
      </c>
      <c r="L381" s="48"/>
      <c r="M381" s="7">
        <f t="shared" si="82"/>
        <v>0</v>
      </c>
      <c r="N381" s="31">
        <f>M381*Dashboard!$I$3</f>
        <v>0</v>
      </c>
      <c r="O381" s="18">
        <f>M360*Dashboard!$I$4</f>
        <v>21000</v>
      </c>
      <c r="P381" s="48"/>
      <c r="Q381" s="32">
        <f t="shared" si="71"/>
        <v>0</v>
      </c>
      <c r="R381" s="31">
        <f t="shared" si="72"/>
        <v>0</v>
      </c>
      <c r="S381" s="31">
        <f t="shared" si="73"/>
        <v>52500</v>
      </c>
      <c r="T381" s="31">
        <f t="shared" si="74"/>
        <v>2160</v>
      </c>
      <c r="U381" s="31">
        <f>U380-R381+S381+V381-Custos!D381+Z380+AF380+AL380-AB380-AH380-AM380</f>
        <v>401823.65717697289</v>
      </c>
      <c r="V381" s="31">
        <f>U380*(((1+Dashboard!$C$17)^(1/30))-1)</f>
        <v>131.7403554114556</v>
      </c>
      <c r="W381" s="29">
        <f t="shared" si="75"/>
        <v>401823.65717697289</v>
      </c>
      <c r="X381" s="45">
        <f>-R381+S381-Custos!D381</f>
        <v>51500</v>
      </c>
      <c r="Z381" s="83">
        <v>0</v>
      </c>
      <c r="AA381" s="33">
        <f>AC380*(((1+Dashboard!$C$20)^(1/30))-1)</f>
        <v>326.56059899511962</v>
      </c>
      <c r="AB381" s="84">
        <v>0</v>
      </c>
      <c r="AC381" s="18">
        <f t="shared" si="83"/>
        <v>712817.05516884895</v>
      </c>
      <c r="AD381" s="47">
        <f t="shared" si="76"/>
        <v>0</v>
      </c>
      <c r="AF381" s="83">
        <v>0</v>
      </c>
      <c r="AG381" s="33">
        <f>AI380*(((1+Dashboard!$C$21)^(1/30))-1)</f>
        <v>62.003167703819322</v>
      </c>
      <c r="AH381" s="84">
        <v>0</v>
      </c>
      <c r="AI381" s="29">
        <f t="shared" si="84"/>
        <v>121213.25383995363</v>
      </c>
      <c r="AJ381" s="45">
        <f t="shared" si="77"/>
        <v>0</v>
      </c>
      <c r="AL381" s="83">
        <v>0</v>
      </c>
      <c r="AM381" s="22">
        <v>0</v>
      </c>
      <c r="AN381" s="45">
        <f t="shared" si="78"/>
        <v>0</v>
      </c>
    </row>
    <row r="382" spans="2:40" x14ac:dyDescent="0.25">
      <c r="B382" s="53">
        <f>B381*(((1+Dashboard!$C$20)^(1/30)))</f>
        <v>1188572.942404299</v>
      </c>
      <c r="C382" s="1">
        <v>378</v>
      </c>
      <c r="D382" s="51">
        <f t="shared" si="79"/>
        <v>46551</v>
      </c>
      <c r="E382" s="7">
        <f t="shared" si="80"/>
        <v>0</v>
      </c>
      <c r="F382" s="31">
        <f>E382*Dashboard!$I$3</f>
        <v>0</v>
      </c>
      <c r="G382" s="18">
        <f>E365*Dashboard!$I$4</f>
        <v>15750</v>
      </c>
      <c r="H382" s="48"/>
      <c r="I382" s="7">
        <f t="shared" si="81"/>
        <v>0</v>
      </c>
      <c r="J382" s="31">
        <f>I382*Dashboard!$I$3</f>
        <v>0</v>
      </c>
      <c r="K382" s="29">
        <f>I363*Dashboard!$I$4</f>
        <v>15750</v>
      </c>
      <c r="L382" s="48"/>
      <c r="M382" s="7">
        <f t="shared" si="82"/>
        <v>0</v>
      </c>
      <c r="N382" s="31">
        <f>M382*Dashboard!$I$3</f>
        <v>0</v>
      </c>
      <c r="O382" s="18">
        <f>M361*Dashboard!$I$4</f>
        <v>21000</v>
      </c>
      <c r="P382" s="48"/>
      <c r="Q382" s="32">
        <f t="shared" si="71"/>
        <v>0</v>
      </c>
      <c r="R382" s="31">
        <f t="shared" si="72"/>
        <v>0</v>
      </c>
      <c r="S382" s="31">
        <f t="shared" si="73"/>
        <v>52500</v>
      </c>
      <c r="T382" s="31">
        <f t="shared" si="74"/>
        <v>2160</v>
      </c>
      <c r="U382" s="31">
        <f>U381-R382+S382+V382-Custos!D382+Z381+AF381+AL381-AB381-AH381-AM381</f>
        <v>453474.82112127432</v>
      </c>
      <c r="V382" s="31">
        <f>U381*(((1+Dashboard!$C$17)^(1/30))-1)</f>
        <v>151.16394430142938</v>
      </c>
      <c r="W382" s="29">
        <f t="shared" si="75"/>
        <v>453474.82112127432</v>
      </c>
      <c r="X382" s="45">
        <f>-R382+S382-Custos!D382</f>
        <v>51500</v>
      </c>
      <c r="Z382" s="83">
        <v>0</v>
      </c>
      <c r="AA382" s="33">
        <f>AC381*(((1+Dashboard!$C$20)^(1/30))-1)</f>
        <v>326.71027372850733</v>
      </c>
      <c r="AB382" s="84">
        <v>0</v>
      </c>
      <c r="AC382" s="18">
        <f t="shared" si="83"/>
        <v>713143.76544257742</v>
      </c>
      <c r="AD382" s="47">
        <f t="shared" si="76"/>
        <v>0</v>
      </c>
      <c r="AF382" s="83">
        <v>0</v>
      </c>
      <c r="AG382" s="33">
        <f>AI381*(((1+Dashboard!$C$21)^(1/30))-1)</f>
        <v>62.034899879789251</v>
      </c>
      <c r="AH382" s="84">
        <v>0</v>
      </c>
      <c r="AI382" s="29">
        <f t="shared" si="84"/>
        <v>121275.28873983341</v>
      </c>
      <c r="AJ382" s="45">
        <f t="shared" si="77"/>
        <v>0</v>
      </c>
      <c r="AL382" s="83">
        <v>0</v>
      </c>
      <c r="AM382" s="22">
        <v>0</v>
      </c>
      <c r="AN382" s="45">
        <f t="shared" si="78"/>
        <v>0</v>
      </c>
    </row>
    <row r="383" spans="2:40" x14ac:dyDescent="0.25">
      <c r="B383" s="53">
        <f>B382*(((1+Dashboard!$C$20)^(1/30)))</f>
        <v>1189117.7090994045</v>
      </c>
      <c r="C383" s="1">
        <v>379</v>
      </c>
      <c r="D383" s="51">
        <f t="shared" si="79"/>
        <v>46552</v>
      </c>
      <c r="E383" s="7">
        <f t="shared" si="80"/>
        <v>0</v>
      </c>
      <c r="F383" s="31">
        <f>E383*Dashboard!$I$3</f>
        <v>0</v>
      </c>
      <c r="G383" s="18">
        <f>E366*Dashboard!$I$4</f>
        <v>15750</v>
      </c>
      <c r="H383" s="48"/>
      <c r="I383" s="7">
        <f t="shared" si="81"/>
        <v>0</v>
      </c>
      <c r="J383" s="31">
        <f>I383*Dashboard!$I$3</f>
        <v>0</v>
      </c>
      <c r="K383" s="29">
        <f>I364*Dashboard!$I$4</f>
        <v>15750</v>
      </c>
      <c r="L383" s="48"/>
      <c r="M383" s="7">
        <f t="shared" si="82"/>
        <v>0</v>
      </c>
      <c r="N383" s="31">
        <f>M383*Dashboard!$I$3</f>
        <v>0</v>
      </c>
      <c r="O383" s="18">
        <f>M362*Dashboard!$I$4</f>
        <v>21000</v>
      </c>
      <c r="P383" s="48"/>
      <c r="Q383" s="32">
        <f t="shared" si="71"/>
        <v>0</v>
      </c>
      <c r="R383" s="31">
        <f t="shared" si="72"/>
        <v>0</v>
      </c>
      <c r="S383" s="31">
        <f t="shared" si="73"/>
        <v>52500</v>
      </c>
      <c r="T383" s="31">
        <f t="shared" si="74"/>
        <v>2160</v>
      </c>
      <c r="U383" s="31">
        <f>U382-R383+S383+V383-Custos!D383+Z382+AF382+AL382-AB382-AH382-AM382</f>
        <v>505145.4159615176</v>
      </c>
      <c r="V383" s="31">
        <f>U382*(((1+Dashboard!$C$17)^(1/30))-1)</f>
        <v>170.59484024328188</v>
      </c>
      <c r="W383" s="29">
        <f t="shared" si="75"/>
        <v>505145.4159615176</v>
      </c>
      <c r="X383" s="45">
        <f>-R383+S383-Custos!D383</f>
        <v>51500</v>
      </c>
      <c r="Z383" s="83">
        <v>0</v>
      </c>
      <c r="AA383" s="33">
        <f>AC382*(((1+Dashboard!$C$20)^(1/30))-1)</f>
        <v>326.86001706333042</v>
      </c>
      <c r="AB383" s="84">
        <v>0</v>
      </c>
      <c r="AC383" s="18">
        <f t="shared" si="83"/>
        <v>713470.62545964075</v>
      </c>
      <c r="AD383" s="47">
        <f t="shared" si="76"/>
        <v>0</v>
      </c>
      <c r="AF383" s="83">
        <v>0</v>
      </c>
      <c r="AG383" s="33">
        <f>AI382*(((1+Dashboard!$C$21)^(1/30))-1)</f>
        <v>62.066648295751882</v>
      </c>
      <c r="AH383" s="84">
        <v>0</v>
      </c>
      <c r="AI383" s="29">
        <f t="shared" si="84"/>
        <v>121337.35538812916</v>
      </c>
      <c r="AJ383" s="45">
        <f t="shared" si="77"/>
        <v>0</v>
      </c>
      <c r="AL383" s="83">
        <v>0</v>
      </c>
      <c r="AM383" s="22">
        <v>0</v>
      </c>
      <c r="AN383" s="45">
        <f t="shared" si="78"/>
        <v>0</v>
      </c>
    </row>
    <row r="384" spans="2:40" x14ac:dyDescent="0.25">
      <c r="B384" s="53">
        <f>B383*(((1+Dashboard!$C$20)^(1/30)))</f>
        <v>1189662.725481123</v>
      </c>
      <c r="C384" s="1">
        <v>380</v>
      </c>
      <c r="D384" s="51">
        <f t="shared" si="79"/>
        <v>46553</v>
      </c>
      <c r="E384" s="7">
        <f t="shared" si="80"/>
        <v>0</v>
      </c>
      <c r="F384" s="31">
        <f>E384*Dashboard!$I$3</f>
        <v>0</v>
      </c>
      <c r="G384" s="18">
        <f>E367*Dashboard!$I$4</f>
        <v>15750</v>
      </c>
      <c r="H384" s="48"/>
      <c r="I384" s="7">
        <f t="shared" si="81"/>
        <v>0</v>
      </c>
      <c r="J384" s="31">
        <f>I384*Dashboard!$I$3</f>
        <v>0</v>
      </c>
      <c r="K384" s="29">
        <f>I365*Dashboard!$I$4</f>
        <v>15750</v>
      </c>
      <c r="L384" s="48"/>
      <c r="M384" s="7">
        <f t="shared" si="82"/>
        <v>0</v>
      </c>
      <c r="N384" s="31">
        <f>M384*Dashboard!$I$3</f>
        <v>0</v>
      </c>
      <c r="O384" s="18">
        <f>M363*Dashboard!$I$4</f>
        <v>21000</v>
      </c>
      <c r="P384" s="48"/>
      <c r="Q384" s="32">
        <f t="shared" ref="Q384:Q399" si="85">E384+I384+M384</f>
        <v>0</v>
      </c>
      <c r="R384" s="31">
        <f t="shared" ref="R384:R399" si="86">F384+J384+N384</f>
        <v>0</v>
      </c>
      <c r="S384" s="31">
        <f t="shared" ref="S384:S399" si="87">G384+K384+O384</f>
        <v>52500</v>
      </c>
      <c r="T384" s="31">
        <f t="shared" ref="T384:T399" si="88">S384-R367</f>
        <v>2160</v>
      </c>
      <c r="U384" s="31">
        <f>U383-R384+S384+V384-Custos!D384+Z383+AF383+AL383-AB383-AH383-AM383</f>
        <v>556835.44900750346</v>
      </c>
      <c r="V384" s="31">
        <f>U383*(((1+Dashboard!$C$17)^(1/30))-1)</f>
        <v>190.03304598588758</v>
      </c>
      <c r="W384" s="29">
        <f t="shared" ref="W384:W399" si="89">U384+R384</f>
        <v>556835.44900750346</v>
      </c>
      <c r="X384" s="45">
        <f>-R384+S384-Custos!D384</f>
        <v>51500</v>
      </c>
      <c r="Z384" s="83">
        <v>0</v>
      </c>
      <c r="AA384" s="33">
        <f>AC383*(((1+Dashboard!$C$20)^(1/30))-1)</f>
        <v>327.00982903103142</v>
      </c>
      <c r="AB384" s="84">
        <v>0</v>
      </c>
      <c r="AC384" s="18">
        <f t="shared" si="83"/>
        <v>713797.63528867182</v>
      </c>
      <c r="AD384" s="47">
        <f t="shared" ref="AD384:AD399" si="90">-Z384+AB384</f>
        <v>0</v>
      </c>
      <c r="AF384" s="83">
        <v>0</v>
      </c>
      <c r="AG384" s="33">
        <f>AI383*(((1+Dashboard!$C$21)^(1/30))-1)</f>
        <v>62.098412960018585</v>
      </c>
      <c r="AH384" s="84">
        <v>0</v>
      </c>
      <c r="AI384" s="29">
        <f t="shared" si="84"/>
        <v>121399.45380108918</v>
      </c>
      <c r="AJ384" s="45">
        <f t="shared" ref="AJ384:AJ399" si="91">-AF384+AH384</f>
        <v>0</v>
      </c>
      <c r="AL384" s="83">
        <v>0</v>
      </c>
      <c r="AM384" s="22">
        <v>0</v>
      </c>
      <c r="AN384" s="45">
        <f t="shared" ref="AN384:AN399" si="92">-AL384+AM384</f>
        <v>0</v>
      </c>
    </row>
    <row r="385" spans="2:40" x14ac:dyDescent="0.25">
      <c r="B385" s="53">
        <f>B384*(((1+Dashboard!$C$20)^(1/30)))</f>
        <v>1190207.9916638948</v>
      </c>
      <c r="C385" s="1">
        <v>381</v>
      </c>
      <c r="D385" s="51">
        <f t="shared" si="79"/>
        <v>46554</v>
      </c>
      <c r="E385" s="7">
        <f t="shared" si="80"/>
        <v>0</v>
      </c>
      <c r="F385" s="31">
        <f>E385*Dashboard!$I$3</f>
        <v>0</v>
      </c>
      <c r="G385" s="18">
        <f>E368*Dashboard!$I$4</f>
        <v>15750</v>
      </c>
      <c r="H385" s="48"/>
      <c r="I385" s="7">
        <f t="shared" si="81"/>
        <v>0</v>
      </c>
      <c r="J385" s="31">
        <f>I385*Dashboard!$I$3</f>
        <v>0</v>
      </c>
      <c r="K385" s="29">
        <f>I366*Dashboard!$I$4</f>
        <v>15750</v>
      </c>
      <c r="L385" s="48"/>
      <c r="M385" s="7">
        <f t="shared" si="82"/>
        <v>0</v>
      </c>
      <c r="N385" s="31">
        <f>M385*Dashboard!$I$3</f>
        <v>0</v>
      </c>
      <c r="O385" s="18">
        <f>M364*Dashboard!$I$4</f>
        <v>21000</v>
      </c>
      <c r="P385" s="48"/>
      <c r="Q385" s="32">
        <f t="shared" si="85"/>
        <v>0</v>
      </c>
      <c r="R385" s="31">
        <f t="shared" si="86"/>
        <v>0</v>
      </c>
      <c r="S385" s="31">
        <f t="shared" si="87"/>
        <v>52500</v>
      </c>
      <c r="T385" s="31">
        <f t="shared" si="88"/>
        <v>2160</v>
      </c>
      <c r="U385" s="31">
        <f>U384-R385+S385+V385-Custos!D385+Z384+AF384+AL384-AB384-AH384-AM384</f>
        <v>608544.92757178261</v>
      </c>
      <c r="V385" s="31">
        <f>U384*(((1+Dashboard!$C$17)^(1/30))-1)</f>
        <v>209.47856427915502</v>
      </c>
      <c r="W385" s="29">
        <f t="shared" si="89"/>
        <v>608544.92757178261</v>
      </c>
      <c r="X385" s="45">
        <f>-R385+S385-Custos!D385</f>
        <v>51500</v>
      </c>
      <c r="Z385" s="83">
        <v>0</v>
      </c>
      <c r="AA385" s="33">
        <f>AC384*(((1+Dashboard!$C$20)^(1/30))-1)</f>
        <v>327.15970966306725</v>
      </c>
      <c r="AB385" s="84">
        <v>0</v>
      </c>
      <c r="AC385" s="18">
        <f t="shared" si="83"/>
        <v>714124.79499833484</v>
      </c>
      <c r="AD385" s="47">
        <f t="shared" si="90"/>
        <v>0</v>
      </c>
      <c r="AF385" s="83">
        <v>0</v>
      </c>
      <c r="AG385" s="33">
        <f>AI384*(((1+Dashboard!$C$21)^(1/30))-1)</f>
        <v>62.130193880904969</v>
      </c>
      <c r="AH385" s="84">
        <v>0</v>
      </c>
      <c r="AI385" s="29">
        <f t="shared" si="84"/>
        <v>121461.58399497009</v>
      </c>
      <c r="AJ385" s="45">
        <f t="shared" si="91"/>
        <v>0</v>
      </c>
      <c r="AL385" s="83">
        <v>0</v>
      </c>
      <c r="AM385" s="22">
        <v>0</v>
      </c>
      <c r="AN385" s="45">
        <f t="shared" si="92"/>
        <v>0</v>
      </c>
    </row>
    <row r="386" spans="2:40" x14ac:dyDescent="0.25">
      <c r="B386" s="53">
        <f>B385*(((1+Dashboard!$C$20)^(1/30)))</f>
        <v>1190753.507762213</v>
      </c>
      <c r="C386" s="1">
        <v>382</v>
      </c>
      <c r="D386" s="51">
        <f t="shared" si="79"/>
        <v>46555</v>
      </c>
      <c r="E386" s="7">
        <f t="shared" si="80"/>
        <v>0</v>
      </c>
      <c r="F386" s="31">
        <f>E386*Dashboard!$I$3</f>
        <v>0</v>
      </c>
      <c r="G386" s="18">
        <f>E369*Dashboard!$I$4</f>
        <v>15750</v>
      </c>
      <c r="H386" s="48"/>
      <c r="I386" s="7">
        <f t="shared" si="81"/>
        <v>0</v>
      </c>
      <c r="J386" s="31">
        <f>I386*Dashboard!$I$3</f>
        <v>0</v>
      </c>
      <c r="K386" s="29">
        <f>I367*Dashboard!$I$4</f>
        <v>15750</v>
      </c>
      <c r="L386" s="48"/>
      <c r="M386" s="7">
        <f t="shared" si="82"/>
        <v>0</v>
      </c>
      <c r="N386" s="31">
        <f>M386*Dashboard!$I$3</f>
        <v>0</v>
      </c>
      <c r="O386" s="18">
        <f>M365*Dashboard!$I$4</f>
        <v>21000</v>
      </c>
      <c r="P386" s="48"/>
      <c r="Q386" s="32">
        <f t="shared" si="85"/>
        <v>0</v>
      </c>
      <c r="R386" s="31">
        <f t="shared" si="86"/>
        <v>0</v>
      </c>
      <c r="S386" s="31">
        <f t="shared" si="87"/>
        <v>52500</v>
      </c>
      <c r="T386" s="31">
        <f t="shared" si="88"/>
        <v>2160</v>
      </c>
      <c r="U386" s="31">
        <f>U385-R386+S386+V386-Custos!D386+Z385+AF385+AL385-AB385-AH385-AM385</f>
        <v>660273.85896965663</v>
      </c>
      <c r="V386" s="31">
        <f>U385*(((1+Dashboard!$C$17)^(1/30))-1)</f>
        <v>228.93139787402728</v>
      </c>
      <c r="W386" s="29">
        <f t="shared" si="89"/>
        <v>660273.85896965663</v>
      </c>
      <c r="X386" s="45">
        <f>-R386+S386-Custos!D386</f>
        <v>51500</v>
      </c>
      <c r="Z386" s="83">
        <v>0</v>
      </c>
      <c r="AA386" s="33">
        <f>AC385*(((1+Dashboard!$C$20)^(1/30))-1)</f>
        <v>327.30965899090933</v>
      </c>
      <c r="AB386" s="84">
        <v>0</v>
      </c>
      <c r="AC386" s="18">
        <f t="shared" si="83"/>
        <v>714452.10465732578</v>
      </c>
      <c r="AD386" s="47">
        <f t="shared" si="90"/>
        <v>0</v>
      </c>
      <c r="AF386" s="83">
        <v>0</v>
      </c>
      <c r="AG386" s="33">
        <f>AI385*(((1+Dashboard!$C$21)^(1/30))-1)</f>
        <v>62.161991066730891</v>
      </c>
      <c r="AH386" s="84">
        <v>0</v>
      </c>
      <c r="AI386" s="29">
        <f t="shared" si="84"/>
        <v>121523.74598603683</v>
      </c>
      <c r="AJ386" s="45">
        <f t="shared" si="91"/>
        <v>0</v>
      </c>
      <c r="AL386" s="83">
        <v>0</v>
      </c>
      <c r="AM386" s="22">
        <v>0</v>
      </c>
      <c r="AN386" s="45">
        <f t="shared" si="92"/>
        <v>0</v>
      </c>
    </row>
    <row r="387" spans="2:40" x14ac:dyDescent="0.25">
      <c r="B387" s="53">
        <f>B386*(((1+Dashboard!$C$20)^(1/30)))</f>
        <v>1191299.2738906231</v>
      </c>
      <c r="C387" s="1">
        <v>383</v>
      </c>
      <c r="D387" s="51">
        <f t="shared" si="79"/>
        <v>46556</v>
      </c>
      <c r="E387" s="7">
        <f t="shared" si="80"/>
        <v>0</v>
      </c>
      <c r="F387" s="31">
        <f>E387*Dashboard!$I$3</f>
        <v>0</v>
      </c>
      <c r="G387" s="18">
        <f>E370*Dashboard!$I$4</f>
        <v>15750</v>
      </c>
      <c r="H387" s="48"/>
      <c r="I387" s="7">
        <f t="shared" si="81"/>
        <v>0</v>
      </c>
      <c r="J387" s="31">
        <f>I387*Dashboard!$I$3</f>
        <v>0</v>
      </c>
      <c r="K387" s="29">
        <f>I368*Dashboard!$I$4</f>
        <v>15750</v>
      </c>
      <c r="L387" s="48"/>
      <c r="M387" s="7">
        <f t="shared" si="82"/>
        <v>0</v>
      </c>
      <c r="N387" s="31">
        <f>M387*Dashboard!$I$3</f>
        <v>0</v>
      </c>
      <c r="O387" s="18">
        <f>M366*Dashboard!$I$4</f>
        <v>21000</v>
      </c>
      <c r="P387" s="48"/>
      <c r="Q387" s="32">
        <f t="shared" si="85"/>
        <v>0</v>
      </c>
      <c r="R387" s="31">
        <f t="shared" si="86"/>
        <v>0</v>
      </c>
      <c r="S387" s="31">
        <f t="shared" si="87"/>
        <v>52500</v>
      </c>
      <c r="T387" s="31">
        <f t="shared" si="88"/>
        <v>2160</v>
      </c>
      <c r="U387" s="31">
        <f>U386-R387+S387+V387-Custos!D387+Z386+AF386+AL386-AB386-AH386-AM386</f>
        <v>712022.25051917916</v>
      </c>
      <c r="V387" s="31">
        <f>U386*(((1+Dashboard!$C$17)^(1/30))-1)</f>
        <v>248.39154952248228</v>
      </c>
      <c r="W387" s="29">
        <f t="shared" si="89"/>
        <v>712022.25051917916</v>
      </c>
      <c r="X387" s="45">
        <f>-R387+S387-Custos!D387</f>
        <v>51500</v>
      </c>
      <c r="Z387" s="83">
        <v>0</v>
      </c>
      <c r="AA387" s="33">
        <f>AC386*(((1+Dashboard!$C$20)^(1/30))-1)</f>
        <v>327.45967704604357</v>
      </c>
      <c r="AB387" s="84">
        <v>0</v>
      </c>
      <c r="AC387" s="18">
        <f t="shared" si="83"/>
        <v>714779.56433437183</v>
      </c>
      <c r="AD387" s="47">
        <f t="shared" si="90"/>
        <v>0</v>
      </c>
      <c r="AF387" s="83">
        <v>0</v>
      </c>
      <c r="AG387" s="33">
        <f>AI386*(((1+Dashboard!$C$21)^(1/30))-1)</f>
        <v>62.193804525820482</v>
      </c>
      <c r="AH387" s="84">
        <v>0</v>
      </c>
      <c r="AI387" s="29">
        <f t="shared" si="84"/>
        <v>121585.93979056264</v>
      </c>
      <c r="AJ387" s="45">
        <f t="shared" si="91"/>
        <v>0</v>
      </c>
      <c r="AL387" s="83">
        <v>0</v>
      </c>
      <c r="AM387" s="22">
        <v>0</v>
      </c>
      <c r="AN387" s="45">
        <f t="shared" si="92"/>
        <v>0</v>
      </c>
    </row>
    <row r="388" spans="2:40" x14ac:dyDescent="0.25">
      <c r="B388" s="53">
        <f>B387*(((1+Dashboard!$C$20)^(1/30)))</f>
        <v>1191845.2901637231</v>
      </c>
      <c r="C388" s="1">
        <v>384</v>
      </c>
      <c r="D388" s="51">
        <f t="shared" si="79"/>
        <v>46557</v>
      </c>
      <c r="E388" s="7">
        <f t="shared" si="80"/>
        <v>0</v>
      </c>
      <c r="F388" s="31">
        <f>E388*Dashboard!$I$3</f>
        <v>0</v>
      </c>
      <c r="G388" s="18">
        <f>E371*Dashboard!$I$4</f>
        <v>15750</v>
      </c>
      <c r="H388" s="48"/>
      <c r="I388" s="7">
        <f t="shared" si="81"/>
        <v>0</v>
      </c>
      <c r="J388" s="31">
        <f>I388*Dashboard!$I$3</f>
        <v>0</v>
      </c>
      <c r="K388" s="29">
        <f>I369*Dashboard!$I$4</f>
        <v>15750</v>
      </c>
      <c r="L388" s="48"/>
      <c r="M388" s="7">
        <f t="shared" si="82"/>
        <v>0</v>
      </c>
      <c r="N388" s="31">
        <f>M388*Dashboard!$I$3</f>
        <v>0</v>
      </c>
      <c r="O388" s="18">
        <f>M367*Dashboard!$I$4</f>
        <v>21000</v>
      </c>
      <c r="P388" s="48"/>
      <c r="Q388" s="32">
        <f t="shared" si="85"/>
        <v>0</v>
      </c>
      <c r="R388" s="31">
        <f t="shared" si="86"/>
        <v>0</v>
      </c>
      <c r="S388" s="31">
        <f t="shared" si="87"/>
        <v>52500</v>
      </c>
      <c r="T388" s="31">
        <f t="shared" si="88"/>
        <v>2160</v>
      </c>
      <c r="U388" s="31">
        <f>U387-R388+S388+V388-Custos!D388+Z387+AF387+AL387-AB387-AH387-AM387</f>
        <v>763790.10954115668</v>
      </c>
      <c r="V388" s="31">
        <f>U387*(((1+Dashboard!$C$17)^(1/30))-1)</f>
        <v>267.8590219775333</v>
      </c>
      <c r="W388" s="29">
        <f t="shared" si="89"/>
        <v>763790.10954115668</v>
      </c>
      <c r="X388" s="45">
        <f>-R388+S388-Custos!D388</f>
        <v>51500</v>
      </c>
      <c r="Z388" s="83">
        <v>0</v>
      </c>
      <c r="AA388" s="33">
        <f>AC387*(((1+Dashboard!$C$20)^(1/30))-1)</f>
        <v>327.60976385997003</v>
      </c>
      <c r="AB388" s="84">
        <v>0</v>
      </c>
      <c r="AC388" s="18">
        <f t="shared" si="83"/>
        <v>715107.17409823183</v>
      </c>
      <c r="AD388" s="47">
        <f t="shared" si="90"/>
        <v>0</v>
      </c>
      <c r="AF388" s="83">
        <v>0</v>
      </c>
      <c r="AG388" s="33">
        <f>AI387*(((1+Dashboard!$C$21)^(1/30))-1)</f>
        <v>62.225634266502112</v>
      </c>
      <c r="AH388" s="84">
        <v>0</v>
      </c>
      <c r="AI388" s="29">
        <f t="shared" si="84"/>
        <v>121648.16542482915</v>
      </c>
      <c r="AJ388" s="45">
        <f t="shared" si="91"/>
        <v>0</v>
      </c>
      <c r="AL388" s="83">
        <v>0</v>
      </c>
      <c r="AM388" s="22">
        <v>0</v>
      </c>
      <c r="AN388" s="45">
        <f t="shared" si="92"/>
        <v>0</v>
      </c>
    </row>
    <row r="389" spans="2:40" x14ac:dyDescent="0.25">
      <c r="B389" s="53">
        <f>B388*(((1+Dashboard!$C$20)^(1/30)))</f>
        <v>1192391.5566961635</v>
      </c>
      <c r="C389" s="1">
        <v>385</v>
      </c>
      <c r="D389" s="51">
        <f t="shared" si="79"/>
        <v>46558</v>
      </c>
      <c r="E389" s="7">
        <f t="shared" si="80"/>
        <v>0</v>
      </c>
      <c r="F389" s="31">
        <f>E389*Dashboard!$I$3</f>
        <v>0</v>
      </c>
      <c r="G389" s="18">
        <f>E372*Dashboard!$I$4</f>
        <v>15750</v>
      </c>
      <c r="H389" s="48"/>
      <c r="I389" s="7">
        <f t="shared" si="81"/>
        <v>0</v>
      </c>
      <c r="J389" s="31">
        <f>I389*Dashboard!$I$3</f>
        <v>0</v>
      </c>
      <c r="K389" s="29">
        <f>I370*Dashboard!$I$4</f>
        <v>15750</v>
      </c>
      <c r="L389" s="48"/>
      <c r="M389" s="7">
        <f t="shared" si="82"/>
        <v>0</v>
      </c>
      <c r="N389" s="31">
        <f>M389*Dashboard!$I$3</f>
        <v>0</v>
      </c>
      <c r="O389" s="18">
        <f>M368*Dashboard!$I$4</f>
        <v>21000</v>
      </c>
      <c r="P389" s="48"/>
      <c r="Q389" s="32">
        <f t="shared" si="85"/>
        <v>0</v>
      </c>
      <c r="R389" s="31">
        <f t="shared" si="86"/>
        <v>0</v>
      </c>
      <c r="S389" s="31">
        <f t="shared" si="87"/>
        <v>52500</v>
      </c>
      <c r="T389" s="31">
        <f t="shared" si="88"/>
        <v>2160</v>
      </c>
      <c r="U389" s="31">
        <f>U388-R389+S389+V389-Custos!D389+Z388+AF388+AL388-AB388-AH388-AM388</f>
        <v>815577.44335914985</v>
      </c>
      <c r="V389" s="31">
        <f>U388*(((1+Dashboard!$C$17)^(1/30))-1)</f>
        <v>287.33381799322916</v>
      </c>
      <c r="W389" s="29">
        <f t="shared" si="89"/>
        <v>815577.44335914985</v>
      </c>
      <c r="X389" s="45">
        <f>-R389+S389-Custos!D389</f>
        <v>51500</v>
      </c>
      <c r="Z389" s="83">
        <v>0</v>
      </c>
      <c r="AA389" s="33">
        <f>AC388*(((1+Dashboard!$C$20)^(1/30))-1)</f>
        <v>327.75991946420356</v>
      </c>
      <c r="AB389" s="84">
        <v>0</v>
      </c>
      <c r="AC389" s="18">
        <f t="shared" si="83"/>
        <v>715434.93401769607</v>
      </c>
      <c r="AD389" s="47">
        <f t="shared" si="90"/>
        <v>0</v>
      </c>
      <c r="AF389" s="83">
        <v>0</v>
      </c>
      <c r="AG389" s="33">
        <f>AI388*(((1+Dashboard!$C$21)^(1/30))-1)</f>
        <v>62.25748029710843</v>
      </c>
      <c r="AH389" s="84">
        <v>0</v>
      </c>
      <c r="AI389" s="29">
        <f t="shared" si="84"/>
        <v>121710.42290512625</v>
      </c>
      <c r="AJ389" s="45">
        <f t="shared" si="91"/>
        <v>0</v>
      </c>
      <c r="AL389" s="83">
        <v>0</v>
      </c>
      <c r="AM389" s="22">
        <v>0</v>
      </c>
      <c r="AN389" s="45">
        <f t="shared" si="92"/>
        <v>0</v>
      </c>
    </row>
    <row r="390" spans="2:40" x14ac:dyDescent="0.25">
      <c r="B390" s="53">
        <f>B389*(((1+Dashboard!$C$20)^(1/30)))</f>
        <v>1192938.0736026473</v>
      </c>
      <c r="C390" s="1">
        <v>386</v>
      </c>
      <c r="D390" s="51">
        <f t="shared" si="79"/>
        <v>46559</v>
      </c>
      <c r="E390" s="7">
        <f t="shared" si="80"/>
        <v>0</v>
      </c>
      <c r="F390" s="31">
        <f>E390*Dashboard!$I$3</f>
        <v>0</v>
      </c>
      <c r="G390" s="18">
        <f>E373*Dashboard!$I$4</f>
        <v>15750</v>
      </c>
      <c r="H390" s="48"/>
      <c r="I390" s="7">
        <f t="shared" si="81"/>
        <v>0</v>
      </c>
      <c r="J390" s="31">
        <f>I390*Dashboard!$I$3</f>
        <v>0</v>
      </c>
      <c r="K390" s="29">
        <f>I371*Dashboard!$I$4</f>
        <v>15750</v>
      </c>
      <c r="L390" s="48"/>
      <c r="M390" s="7">
        <f t="shared" si="82"/>
        <v>0</v>
      </c>
      <c r="N390" s="31">
        <f>M390*Dashboard!$I$3</f>
        <v>0</v>
      </c>
      <c r="O390" s="18">
        <f>M369*Dashboard!$I$4</f>
        <v>21000</v>
      </c>
      <c r="P390" s="48"/>
      <c r="Q390" s="32">
        <f t="shared" si="85"/>
        <v>0</v>
      </c>
      <c r="R390" s="31">
        <f t="shared" si="86"/>
        <v>0</v>
      </c>
      <c r="S390" s="31">
        <f t="shared" si="87"/>
        <v>52500</v>
      </c>
      <c r="T390" s="31">
        <f t="shared" si="88"/>
        <v>2160</v>
      </c>
      <c r="U390" s="31">
        <f>U389-R390+S390+V390-Custos!D390+Z389+AF389+AL389-AB389-AH389-AM389</f>
        <v>867384.25929947454</v>
      </c>
      <c r="V390" s="31">
        <f>U389*(((1+Dashboard!$C$17)^(1/30))-1)</f>
        <v>306.81594032465489</v>
      </c>
      <c r="W390" s="29">
        <f t="shared" si="89"/>
        <v>867384.25929947454</v>
      </c>
      <c r="X390" s="45">
        <f>-R390+S390-Custos!D390</f>
        <v>51500</v>
      </c>
      <c r="Z390" s="83">
        <v>0</v>
      </c>
      <c r="AA390" s="33">
        <f>AC389*(((1+Dashboard!$C$20)^(1/30))-1)</f>
        <v>327.91014389027322</v>
      </c>
      <c r="AB390" s="84">
        <v>0</v>
      </c>
      <c r="AC390" s="18">
        <f t="shared" si="83"/>
        <v>715762.84416158637</v>
      </c>
      <c r="AD390" s="47">
        <f t="shared" si="90"/>
        <v>0</v>
      </c>
      <c r="AF390" s="83">
        <v>0</v>
      </c>
      <c r="AG390" s="33">
        <f>AI389*(((1+Dashboard!$C$21)^(1/30))-1)</f>
        <v>62.289342625976353</v>
      </c>
      <c r="AH390" s="84">
        <v>0</v>
      </c>
      <c r="AI390" s="29">
        <f t="shared" si="84"/>
        <v>121772.71224775224</v>
      </c>
      <c r="AJ390" s="45">
        <f t="shared" si="91"/>
        <v>0</v>
      </c>
      <c r="AL390" s="83">
        <v>0</v>
      </c>
      <c r="AM390" s="22">
        <v>0</v>
      </c>
      <c r="AN390" s="45">
        <f t="shared" si="92"/>
        <v>0</v>
      </c>
    </row>
    <row r="391" spans="2:40" x14ac:dyDescent="0.25">
      <c r="B391" s="53">
        <f>B390*(((1+Dashboard!$C$20)^(1/30)))</f>
        <v>1193484.8409979302</v>
      </c>
      <c r="C391" s="1">
        <v>387</v>
      </c>
      <c r="D391" s="51">
        <f t="shared" ref="D391:D399" si="93">D390+1</f>
        <v>46560</v>
      </c>
      <c r="E391" s="7">
        <f t="shared" ref="E391:E399" si="94">E390</f>
        <v>0</v>
      </c>
      <c r="F391" s="31">
        <f>E391*Dashboard!$I$3</f>
        <v>0</v>
      </c>
      <c r="G391" s="18">
        <f>E374*Dashboard!$I$4</f>
        <v>15750</v>
      </c>
      <c r="H391" s="48"/>
      <c r="I391" s="7">
        <f t="shared" ref="I391:I399" si="95">I390</f>
        <v>0</v>
      </c>
      <c r="J391" s="31">
        <f>I391*Dashboard!$I$3</f>
        <v>0</v>
      </c>
      <c r="K391" s="29">
        <f>I372*Dashboard!$I$4</f>
        <v>15750</v>
      </c>
      <c r="L391" s="48"/>
      <c r="M391" s="7">
        <f t="shared" ref="M391:M399" si="96">M390</f>
        <v>0</v>
      </c>
      <c r="N391" s="31">
        <f>M391*Dashboard!$I$3</f>
        <v>0</v>
      </c>
      <c r="O391" s="18">
        <f>M370*Dashboard!$I$4</f>
        <v>21000</v>
      </c>
      <c r="P391" s="48"/>
      <c r="Q391" s="32">
        <f t="shared" si="85"/>
        <v>0</v>
      </c>
      <c r="R391" s="31">
        <f t="shared" si="86"/>
        <v>0</v>
      </c>
      <c r="S391" s="31">
        <f t="shared" si="87"/>
        <v>52500</v>
      </c>
      <c r="T391" s="31">
        <f t="shared" si="88"/>
        <v>2160</v>
      </c>
      <c r="U391" s="31">
        <f>U390-R391+S391+V391-Custos!D391+Z390+AF390+AL390-AB390-AH390-AM390</f>
        <v>919210.56469120248</v>
      </c>
      <c r="V391" s="31">
        <f>U390*(((1+Dashboard!$C$17)^(1/30))-1)</f>
        <v>326.30539172793186</v>
      </c>
      <c r="W391" s="29">
        <f t="shared" si="89"/>
        <v>919210.56469120248</v>
      </c>
      <c r="X391" s="45">
        <f>-R391+S391-Custos!D391</f>
        <v>51500</v>
      </c>
      <c r="Z391" s="83">
        <v>0</v>
      </c>
      <c r="AA391" s="33">
        <f>AC390*(((1+Dashboard!$C$20)^(1/30))-1)</f>
        <v>328.06043716972255</v>
      </c>
      <c r="AB391" s="84">
        <v>0</v>
      </c>
      <c r="AC391" s="18">
        <f t="shared" ref="AC391:AC399" si="97">AC390+AA391-AB390+Z391</f>
        <v>716090.90459875611</v>
      </c>
      <c r="AD391" s="47">
        <f t="shared" si="90"/>
        <v>0</v>
      </c>
      <c r="AF391" s="83">
        <v>0</v>
      </c>
      <c r="AG391" s="33">
        <f>AI390*(((1+Dashboard!$C$21)^(1/30))-1)</f>
        <v>62.321221261447043</v>
      </c>
      <c r="AH391" s="84">
        <v>0</v>
      </c>
      <c r="AI391" s="29">
        <f t="shared" ref="AI391:AI399" si="98">AI390+AG391-AH390+AF391</f>
        <v>121835.03346901368</v>
      </c>
      <c r="AJ391" s="45">
        <f t="shared" si="91"/>
        <v>0</v>
      </c>
      <c r="AL391" s="83">
        <v>0</v>
      </c>
      <c r="AM391" s="22">
        <v>0</v>
      </c>
      <c r="AN391" s="45">
        <f t="shared" si="92"/>
        <v>0</v>
      </c>
    </row>
    <row r="392" spans="2:40" x14ac:dyDescent="0.25">
      <c r="B392" s="53">
        <f>B391*(((1+Dashboard!$C$20)^(1/30)))</f>
        <v>1194031.8589968204</v>
      </c>
      <c r="C392" s="1">
        <v>388</v>
      </c>
      <c r="D392" s="51">
        <f t="shared" si="93"/>
        <v>46561</v>
      </c>
      <c r="E392" s="7">
        <f t="shared" si="94"/>
        <v>0</v>
      </c>
      <c r="F392" s="31">
        <f>E392*Dashboard!$I$3</f>
        <v>0</v>
      </c>
      <c r="G392" s="18">
        <f>E375*Dashboard!$I$4</f>
        <v>15750</v>
      </c>
      <c r="H392" s="48"/>
      <c r="I392" s="7">
        <f t="shared" si="95"/>
        <v>0</v>
      </c>
      <c r="J392" s="31">
        <f>I392*Dashboard!$I$3</f>
        <v>0</v>
      </c>
      <c r="K392" s="29">
        <f>I373*Dashboard!$I$4</f>
        <v>15750</v>
      </c>
      <c r="L392" s="48"/>
      <c r="M392" s="7">
        <f t="shared" si="96"/>
        <v>0</v>
      </c>
      <c r="N392" s="31">
        <f>M392*Dashboard!$I$3</f>
        <v>0</v>
      </c>
      <c r="O392" s="18">
        <f>M371*Dashboard!$I$4</f>
        <v>21000</v>
      </c>
      <c r="P392" s="48"/>
      <c r="Q392" s="32">
        <f t="shared" si="85"/>
        <v>0</v>
      </c>
      <c r="R392" s="31">
        <f t="shared" si="86"/>
        <v>0</v>
      </c>
      <c r="S392" s="31">
        <f t="shared" si="87"/>
        <v>52500</v>
      </c>
      <c r="T392" s="31">
        <f t="shared" si="88"/>
        <v>2160</v>
      </c>
      <c r="U392" s="31">
        <f>U391-R392+S392+V392-Custos!D392+Z391+AF391+AL391-AB391-AH391-AM391</f>
        <v>971056.36686616275</v>
      </c>
      <c r="V392" s="31">
        <f>U391*(((1+Dashboard!$C$17)^(1/30))-1)</f>
        <v>345.80217496021834</v>
      </c>
      <c r="W392" s="29">
        <f t="shared" si="89"/>
        <v>971056.36686616275</v>
      </c>
      <c r="X392" s="45">
        <f>-R392+S392-Custos!D392</f>
        <v>51500</v>
      </c>
      <c r="Z392" s="83">
        <v>0</v>
      </c>
      <c r="AA392" s="33">
        <f>AC391*(((1+Dashboard!$C$20)^(1/30))-1)</f>
        <v>328.21079933410965</v>
      </c>
      <c r="AB392" s="84">
        <v>0</v>
      </c>
      <c r="AC392" s="18">
        <f t="shared" si="97"/>
        <v>716419.11539809022</v>
      </c>
      <c r="AD392" s="47">
        <f t="shared" si="90"/>
        <v>0</v>
      </c>
      <c r="AF392" s="83">
        <v>0</v>
      </c>
      <c r="AG392" s="33">
        <f>AI391*(((1+Dashboard!$C$21)^(1/30))-1)</f>
        <v>62.353116211865952</v>
      </c>
      <c r="AH392" s="84">
        <v>0</v>
      </c>
      <c r="AI392" s="29">
        <f t="shared" si="98"/>
        <v>121897.38658522554</v>
      </c>
      <c r="AJ392" s="45">
        <f t="shared" si="91"/>
        <v>0</v>
      </c>
      <c r="AL392" s="83">
        <v>0</v>
      </c>
      <c r="AM392" s="22">
        <v>0</v>
      </c>
      <c r="AN392" s="45">
        <f t="shared" si="92"/>
        <v>0</v>
      </c>
    </row>
    <row r="393" spans="2:40" x14ac:dyDescent="0.25">
      <c r="B393" s="53">
        <f>B392*(((1+Dashboard!$C$20)^(1/30)))</f>
        <v>1194579.1277141788</v>
      </c>
      <c r="C393" s="1">
        <v>389</v>
      </c>
      <c r="D393" s="51">
        <f t="shared" si="93"/>
        <v>46562</v>
      </c>
      <c r="E393" s="7">
        <f t="shared" si="94"/>
        <v>0</v>
      </c>
      <c r="F393" s="31">
        <f>E393*Dashboard!$I$3</f>
        <v>0</v>
      </c>
      <c r="G393" s="18">
        <f>E376*Dashboard!$I$4</f>
        <v>15750</v>
      </c>
      <c r="H393" s="48"/>
      <c r="I393" s="7">
        <f t="shared" si="95"/>
        <v>0</v>
      </c>
      <c r="J393" s="31">
        <f>I393*Dashboard!$I$3</f>
        <v>0</v>
      </c>
      <c r="K393" s="29">
        <f>I374*Dashboard!$I$4</f>
        <v>15750</v>
      </c>
      <c r="L393" s="48"/>
      <c r="M393" s="7">
        <f t="shared" si="96"/>
        <v>0</v>
      </c>
      <c r="N393" s="31">
        <f>M393*Dashboard!$I$3</f>
        <v>0</v>
      </c>
      <c r="O393" s="18">
        <f>M372*Dashboard!$I$4</f>
        <v>21000</v>
      </c>
      <c r="P393" s="48"/>
      <c r="Q393" s="32">
        <f t="shared" si="85"/>
        <v>0</v>
      </c>
      <c r="R393" s="31">
        <f t="shared" si="86"/>
        <v>0</v>
      </c>
      <c r="S393" s="31">
        <f t="shared" si="87"/>
        <v>52500</v>
      </c>
      <c r="T393" s="31">
        <f t="shared" si="88"/>
        <v>2160</v>
      </c>
      <c r="U393" s="31">
        <f>U392-R393+S393+V393-Custos!D393+Z392+AF392+AL392-AB392-AH392-AM392</f>
        <v>1022921.6731589425</v>
      </c>
      <c r="V393" s="31">
        <f>U392*(((1+Dashboard!$C$17)^(1/30))-1)</f>
        <v>365.30629277970979</v>
      </c>
      <c r="W393" s="29">
        <f t="shared" si="89"/>
        <v>1022921.6731589425</v>
      </c>
      <c r="X393" s="45">
        <f>-R393+S393-Custos!D393</f>
        <v>51500</v>
      </c>
      <c r="Z393" s="83">
        <v>0</v>
      </c>
      <c r="AA393" s="33">
        <f>AC392*(((1+Dashboard!$C$20)^(1/30))-1)</f>
        <v>328.36123041500696</v>
      </c>
      <c r="AB393" s="84">
        <v>0</v>
      </c>
      <c r="AC393" s="18">
        <f t="shared" si="97"/>
        <v>716747.47662850528</v>
      </c>
      <c r="AD393" s="47">
        <f t="shared" si="90"/>
        <v>0</v>
      </c>
      <c r="AF393" s="83">
        <v>0</v>
      </c>
      <c r="AG393" s="33">
        <f>AI392*(((1+Dashboard!$C$21)^(1/30))-1)</f>
        <v>62.385027485582796</v>
      </c>
      <c r="AH393" s="84">
        <v>0</v>
      </c>
      <c r="AI393" s="29">
        <f t="shared" si="98"/>
        <v>121959.77161271112</v>
      </c>
      <c r="AJ393" s="45">
        <f t="shared" si="91"/>
        <v>0</v>
      </c>
      <c r="AL393" s="83">
        <v>0</v>
      </c>
      <c r="AM393" s="22">
        <v>0</v>
      </c>
      <c r="AN393" s="45">
        <f t="shared" si="92"/>
        <v>0</v>
      </c>
    </row>
    <row r="394" spans="2:40" x14ac:dyDescent="0.25">
      <c r="B394" s="53">
        <f>B393*(((1+Dashboard!$C$20)^(1/30)))</f>
        <v>1195126.6472649188</v>
      </c>
      <c r="C394" s="1">
        <v>390</v>
      </c>
      <c r="D394" s="51">
        <f t="shared" si="93"/>
        <v>46563</v>
      </c>
      <c r="E394" s="7">
        <f t="shared" si="94"/>
        <v>0</v>
      </c>
      <c r="F394" s="31">
        <f>E394*Dashboard!$I$3</f>
        <v>0</v>
      </c>
      <c r="G394" s="18">
        <f>E377*Dashboard!$I$4</f>
        <v>15750</v>
      </c>
      <c r="H394" s="48"/>
      <c r="I394" s="7">
        <f t="shared" si="95"/>
        <v>0</v>
      </c>
      <c r="J394" s="31">
        <f>I394*Dashboard!$I$3</f>
        <v>0</v>
      </c>
      <c r="K394" s="29">
        <f>I375*Dashboard!$I$4</f>
        <v>15750</v>
      </c>
      <c r="L394" s="48"/>
      <c r="M394" s="7">
        <f t="shared" si="96"/>
        <v>0</v>
      </c>
      <c r="N394" s="31">
        <f>M394*Dashboard!$I$3</f>
        <v>0</v>
      </c>
      <c r="O394" s="18">
        <f>M373*Dashboard!$I$4</f>
        <v>21000</v>
      </c>
      <c r="P394" s="48"/>
      <c r="Q394" s="32">
        <f t="shared" si="85"/>
        <v>0</v>
      </c>
      <c r="R394" s="31">
        <f t="shared" si="86"/>
        <v>0</v>
      </c>
      <c r="S394" s="31">
        <f t="shared" si="87"/>
        <v>52500</v>
      </c>
      <c r="T394" s="31">
        <f t="shared" si="88"/>
        <v>2160</v>
      </c>
      <c r="U394" s="31">
        <f>U393-R394+S394+V394-Custos!D394+Z393+AF393+AL393-AB393-AH393-AM393</f>
        <v>1074806.4909068882</v>
      </c>
      <c r="V394" s="31">
        <f>U393*(((1+Dashboard!$C$17)^(1/30))-1)</f>
        <v>384.81774794563927</v>
      </c>
      <c r="W394" s="29">
        <f t="shared" si="89"/>
        <v>1074806.4909068882</v>
      </c>
      <c r="X394" s="45">
        <f>-R394+S394-Custos!D394</f>
        <v>51500</v>
      </c>
      <c r="Z394" s="83">
        <v>0</v>
      </c>
      <c r="AA394" s="33">
        <f>AC393*(((1+Dashboard!$C$20)^(1/30))-1)</f>
        <v>328.51173044400156</v>
      </c>
      <c r="AB394" s="84">
        <v>0</v>
      </c>
      <c r="AC394" s="18">
        <f t="shared" si="97"/>
        <v>717075.98835894931</v>
      </c>
      <c r="AD394" s="47">
        <f t="shared" si="90"/>
        <v>0</v>
      </c>
      <c r="AF394" s="83">
        <v>0</v>
      </c>
      <c r="AG394" s="33">
        <f>AI393*(((1+Dashboard!$C$21)^(1/30))-1)</f>
        <v>62.416955090951561</v>
      </c>
      <c r="AH394" s="84">
        <v>0</v>
      </c>
      <c r="AI394" s="29">
        <f t="shared" si="98"/>
        <v>122022.18856780208</v>
      </c>
      <c r="AJ394" s="45">
        <f t="shared" si="91"/>
        <v>0</v>
      </c>
      <c r="AL394" s="83">
        <v>0</v>
      </c>
      <c r="AM394" s="22">
        <v>0</v>
      </c>
      <c r="AN394" s="45">
        <f t="shared" si="92"/>
        <v>0</v>
      </c>
    </row>
    <row r="395" spans="2:40" x14ac:dyDescent="0.25">
      <c r="B395" s="53">
        <f>B394*(((1+Dashboard!$C$20)^(1/30)))</f>
        <v>1195674.4177640066</v>
      </c>
      <c r="C395" s="1">
        <v>391</v>
      </c>
      <c r="D395" s="51">
        <f t="shared" si="93"/>
        <v>46564</v>
      </c>
      <c r="E395" s="7">
        <f t="shared" si="94"/>
        <v>0</v>
      </c>
      <c r="F395" s="31">
        <f>E395*Dashboard!$I$3</f>
        <v>0</v>
      </c>
      <c r="G395" s="18">
        <f>E378*Dashboard!$I$4</f>
        <v>15750</v>
      </c>
      <c r="H395" s="48"/>
      <c r="I395" s="7">
        <f t="shared" si="95"/>
        <v>0</v>
      </c>
      <c r="J395" s="31">
        <f>I395*Dashboard!$I$3</f>
        <v>0</v>
      </c>
      <c r="K395" s="29">
        <f>I376*Dashboard!$I$4</f>
        <v>15750</v>
      </c>
      <c r="L395" s="48"/>
      <c r="M395" s="7">
        <f t="shared" si="96"/>
        <v>0</v>
      </c>
      <c r="N395" s="31">
        <f>M395*Dashboard!$I$3</f>
        <v>0</v>
      </c>
      <c r="O395" s="18">
        <f>M374*Dashboard!$I$4</f>
        <v>21000</v>
      </c>
      <c r="P395" s="48"/>
      <c r="Q395" s="32">
        <f t="shared" si="85"/>
        <v>0</v>
      </c>
      <c r="R395" s="31">
        <f t="shared" si="86"/>
        <v>0</v>
      </c>
      <c r="S395" s="31">
        <f t="shared" si="87"/>
        <v>52500</v>
      </c>
      <c r="T395" s="31">
        <f t="shared" si="88"/>
        <v>2160</v>
      </c>
      <c r="U395" s="31">
        <f>U394-R395+S395+V395-Custos!D395+Z394+AF394+AL394-AB394-AH394-AM394</f>
        <v>1126710.8274501064</v>
      </c>
      <c r="V395" s="31">
        <f>U394*(((1+Dashboard!$C$17)^(1/30))-1)</f>
        <v>404.33654321827794</v>
      </c>
      <c r="W395" s="29">
        <f t="shared" si="89"/>
        <v>1126710.8274501064</v>
      </c>
      <c r="X395" s="45">
        <f>-R395+S395-Custos!D395</f>
        <v>51500</v>
      </c>
      <c r="Z395" s="83">
        <v>0</v>
      </c>
      <c r="AA395" s="33">
        <f>AC394*(((1+Dashboard!$C$20)^(1/30))-1)</f>
        <v>328.66229945269475</v>
      </c>
      <c r="AB395" s="84">
        <v>0</v>
      </c>
      <c r="AC395" s="18">
        <f t="shared" si="97"/>
        <v>717404.65065840201</v>
      </c>
      <c r="AD395" s="47">
        <f t="shared" si="90"/>
        <v>0</v>
      </c>
      <c r="AF395" s="83">
        <v>0</v>
      </c>
      <c r="AG395" s="33">
        <f>AI394*(((1+Dashboard!$C$21)^(1/30))-1)</f>
        <v>62.448899036330516</v>
      </c>
      <c r="AH395" s="84">
        <v>0</v>
      </c>
      <c r="AI395" s="29">
        <f t="shared" si="98"/>
        <v>122084.63746683841</v>
      </c>
      <c r="AJ395" s="45">
        <f t="shared" si="91"/>
        <v>0</v>
      </c>
      <c r="AL395" s="83">
        <v>0</v>
      </c>
      <c r="AM395" s="22">
        <v>0</v>
      </c>
      <c r="AN395" s="45">
        <f t="shared" si="92"/>
        <v>0</v>
      </c>
    </row>
    <row r="396" spans="2:40" x14ac:dyDescent="0.25">
      <c r="B396" s="53">
        <f>B395*(((1+Dashboard!$C$20)^(1/30)))</f>
        <v>1196222.4393264612</v>
      </c>
      <c r="C396" s="1">
        <v>392</v>
      </c>
      <c r="D396" s="51">
        <f t="shared" si="93"/>
        <v>46565</v>
      </c>
      <c r="E396" s="7">
        <f t="shared" si="94"/>
        <v>0</v>
      </c>
      <c r="F396" s="31">
        <f>E396*Dashboard!$I$3</f>
        <v>0</v>
      </c>
      <c r="G396" s="18">
        <f>E379*Dashboard!$I$4</f>
        <v>0</v>
      </c>
      <c r="H396" s="48"/>
      <c r="I396" s="7">
        <f t="shared" si="95"/>
        <v>0</v>
      </c>
      <c r="J396" s="31">
        <f>I396*Dashboard!$I$3</f>
        <v>0</v>
      </c>
      <c r="K396" s="29">
        <f>I377*Dashboard!$I$4</f>
        <v>15750</v>
      </c>
      <c r="L396" s="48"/>
      <c r="M396" s="7">
        <f t="shared" si="96"/>
        <v>0</v>
      </c>
      <c r="N396" s="31">
        <f>M396*Dashboard!$I$3</f>
        <v>0</v>
      </c>
      <c r="O396" s="18">
        <f>M375*Dashboard!$I$4</f>
        <v>21000</v>
      </c>
      <c r="P396" s="48"/>
      <c r="Q396" s="32">
        <f t="shared" si="85"/>
        <v>0</v>
      </c>
      <c r="R396" s="31">
        <f t="shared" si="86"/>
        <v>0</v>
      </c>
      <c r="S396" s="31">
        <f t="shared" si="87"/>
        <v>36750</v>
      </c>
      <c r="T396" s="31">
        <f t="shared" si="88"/>
        <v>36750</v>
      </c>
      <c r="U396" s="31">
        <f>U395-R396+S396+V396-Custos!D396+Z395+AF395+AL395-AB395-AH395-AM395</f>
        <v>1162884.6901314652</v>
      </c>
      <c r="V396" s="31">
        <f>U395*(((1+Dashboard!$C$17)^(1/30))-1)</f>
        <v>423.86268135893522</v>
      </c>
      <c r="W396" s="29">
        <f t="shared" si="89"/>
        <v>1162884.6901314652</v>
      </c>
      <c r="X396" s="45">
        <f>-R396+S396-Custos!D396</f>
        <v>35750</v>
      </c>
      <c r="Z396" s="83">
        <v>0</v>
      </c>
      <c r="AA396" s="33">
        <f>AC395*(((1+Dashboard!$C$20)^(1/30))-1)</f>
        <v>328.81293747270257</v>
      </c>
      <c r="AB396" s="84">
        <v>0</v>
      </c>
      <c r="AC396" s="18">
        <f t="shared" si="97"/>
        <v>717733.46359587472</v>
      </c>
      <c r="AD396" s="47">
        <f t="shared" si="90"/>
        <v>0</v>
      </c>
      <c r="AF396" s="83">
        <v>0</v>
      </c>
      <c r="AG396" s="33">
        <f>AI395*(((1+Dashboard!$C$21)^(1/30))-1)</f>
        <v>62.480859330082197</v>
      </c>
      <c r="AH396" s="84">
        <v>0</v>
      </c>
      <c r="AI396" s="29">
        <f t="shared" si="98"/>
        <v>122147.11832616849</v>
      </c>
      <c r="AJ396" s="45">
        <f t="shared" si="91"/>
        <v>0</v>
      </c>
      <c r="AL396" s="83">
        <v>0</v>
      </c>
      <c r="AM396" s="22">
        <v>0</v>
      </c>
      <c r="AN396" s="45">
        <f t="shared" si="92"/>
        <v>0</v>
      </c>
    </row>
    <row r="397" spans="2:40" x14ac:dyDescent="0.25">
      <c r="B397" s="53">
        <f>B396*(((1+Dashboard!$C$20)^(1/30)))</f>
        <v>1196770.712067354</v>
      </c>
      <c r="C397" s="1">
        <v>393</v>
      </c>
      <c r="D397" s="51">
        <f t="shared" si="93"/>
        <v>46566</v>
      </c>
      <c r="E397" s="7">
        <f t="shared" si="94"/>
        <v>0</v>
      </c>
      <c r="F397" s="31">
        <f>E397*Dashboard!$I$3</f>
        <v>0</v>
      </c>
      <c r="G397" s="18">
        <f>E380*Dashboard!$I$4</f>
        <v>0</v>
      </c>
      <c r="H397" s="48"/>
      <c r="I397" s="7">
        <f t="shared" si="95"/>
        <v>0</v>
      </c>
      <c r="J397" s="31">
        <f>I397*Dashboard!$I$3</f>
        <v>0</v>
      </c>
      <c r="K397" s="29">
        <f>I378*Dashboard!$I$4</f>
        <v>15750</v>
      </c>
      <c r="L397" s="48"/>
      <c r="M397" s="7">
        <f t="shared" si="96"/>
        <v>0</v>
      </c>
      <c r="N397" s="31">
        <f>M397*Dashboard!$I$3</f>
        <v>0</v>
      </c>
      <c r="O397" s="18">
        <f>M376*Dashboard!$I$4</f>
        <v>21000</v>
      </c>
      <c r="P397" s="48"/>
      <c r="Q397" s="32">
        <f t="shared" si="85"/>
        <v>0</v>
      </c>
      <c r="R397" s="31">
        <f t="shared" si="86"/>
        <v>0</v>
      </c>
      <c r="S397" s="31">
        <f t="shared" si="87"/>
        <v>36750</v>
      </c>
      <c r="T397" s="31">
        <f t="shared" si="88"/>
        <v>36750</v>
      </c>
      <c r="U397" s="31">
        <f>U396-R397+S397+V397-Custos!D397+Z396+AF396+AL396-AB396-AH396-AM396</f>
        <v>1199072.1612295161</v>
      </c>
      <c r="V397" s="31">
        <f>U396*(((1+Dashboard!$C$17)^(1/30))-1)</f>
        <v>437.47109805084779</v>
      </c>
      <c r="W397" s="29">
        <f t="shared" si="89"/>
        <v>1199072.1612295161</v>
      </c>
      <c r="X397" s="45">
        <f>-R397+S397-Custos!D397</f>
        <v>35750</v>
      </c>
      <c r="Z397" s="83">
        <v>0</v>
      </c>
      <c r="AA397" s="33">
        <f>AC396*(((1+Dashboard!$C$20)^(1/30))-1)</f>
        <v>328.96364453565542</v>
      </c>
      <c r="AB397" s="84">
        <v>0</v>
      </c>
      <c r="AC397" s="18">
        <f t="shared" si="97"/>
        <v>718062.42724041035</v>
      </c>
      <c r="AD397" s="47">
        <f t="shared" si="90"/>
        <v>0</v>
      </c>
      <c r="AF397" s="83">
        <v>0</v>
      </c>
      <c r="AG397" s="33">
        <f>AI396*(((1+Dashboard!$C$21)^(1/30))-1)</f>
        <v>62.512835980573421</v>
      </c>
      <c r="AH397" s="84">
        <v>0</v>
      </c>
      <c r="AI397" s="29">
        <f t="shared" si="98"/>
        <v>122209.63116214906</v>
      </c>
      <c r="AJ397" s="45">
        <f t="shared" si="91"/>
        <v>0</v>
      </c>
      <c r="AL397" s="83">
        <v>0</v>
      </c>
      <c r="AM397" s="22">
        <v>0</v>
      </c>
      <c r="AN397" s="45">
        <f t="shared" si="92"/>
        <v>0</v>
      </c>
    </row>
    <row r="398" spans="2:40" x14ac:dyDescent="0.25">
      <c r="B398" s="53">
        <f>B397*(((1+Dashboard!$C$20)^(1/30)))</f>
        <v>1197319.2361018094</v>
      </c>
      <c r="C398" s="1">
        <v>394</v>
      </c>
      <c r="D398" s="51">
        <f t="shared" si="93"/>
        <v>46567</v>
      </c>
      <c r="E398" s="7">
        <f t="shared" si="94"/>
        <v>0</v>
      </c>
      <c r="F398" s="31">
        <f>E398*Dashboard!$I$3</f>
        <v>0</v>
      </c>
      <c r="G398" s="18">
        <f>E381*Dashboard!$I$4</f>
        <v>0</v>
      </c>
      <c r="H398" s="48"/>
      <c r="I398" s="7">
        <f t="shared" si="95"/>
        <v>0</v>
      </c>
      <c r="J398" s="31">
        <f>I398*Dashboard!$I$3</f>
        <v>0</v>
      </c>
      <c r="K398" s="29">
        <f>I379*Dashboard!$I$4</f>
        <v>0</v>
      </c>
      <c r="L398" s="48"/>
      <c r="M398" s="7">
        <f t="shared" si="96"/>
        <v>0</v>
      </c>
      <c r="N398" s="31">
        <f>M398*Dashboard!$I$3</f>
        <v>0</v>
      </c>
      <c r="O398" s="18">
        <f>M377*Dashboard!$I$4</f>
        <v>21000</v>
      </c>
      <c r="P398" s="48"/>
      <c r="Q398" s="32">
        <f t="shared" si="85"/>
        <v>0</v>
      </c>
      <c r="R398" s="31">
        <f t="shared" si="86"/>
        <v>0</v>
      </c>
      <c r="S398" s="31">
        <f t="shared" si="87"/>
        <v>21000</v>
      </c>
      <c r="T398" s="31">
        <f t="shared" si="88"/>
        <v>21000</v>
      </c>
      <c r="U398" s="31">
        <f>U397-R398+S398+V398-Custos!D398+Z397+AF397+AL397-AB397-AH397-AM397</f>
        <v>1219523.2458636735</v>
      </c>
      <c r="V398" s="31">
        <f>U397*(((1+Dashboard!$C$17)^(1/30))-1)</f>
        <v>451.08463415747411</v>
      </c>
      <c r="W398" s="29">
        <f t="shared" si="89"/>
        <v>1219523.2458636735</v>
      </c>
      <c r="X398" s="45">
        <f>-R398+S398-Custos!D398</f>
        <v>20000</v>
      </c>
      <c r="Z398" s="83">
        <v>0</v>
      </c>
      <c r="AA398" s="33">
        <f>AC397*(((1+Dashboard!$C$20)^(1/30))-1)</f>
        <v>329.11442067319814</v>
      </c>
      <c r="AB398" s="84">
        <v>0</v>
      </c>
      <c r="AC398" s="18">
        <f t="shared" si="97"/>
        <v>718391.54166108358</v>
      </c>
      <c r="AD398" s="47">
        <f t="shared" si="90"/>
        <v>0</v>
      </c>
      <c r="AF398" s="83">
        <v>0</v>
      </c>
      <c r="AG398" s="33">
        <f>AI397*(((1+Dashboard!$C$21)^(1/30))-1)</f>
        <v>62.544828996175305</v>
      </c>
      <c r="AH398" s="84">
        <v>0</v>
      </c>
      <c r="AI398" s="29">
        <f t="shared" si="98"/>
        <v>122272.17599114524</v>
      </c>
      <c r="AJ398" s="45">
        <f t="shared" si="91"/>
        <v>0</v>
      </c>
      <c r="AL398" s="83">
        <v>0</v>
      </c>
      <c r="AM398" s="22">
        <v>0</v>
      </c>
      <c r="AN398" s="45">
        <f t="shared" si="92"/>
        <v>0</v>
      </c>
    </row>
    <row r="399" spans="2:40" x14ac:dyDescent="0.25">
      <c r="B399" s="53">
        <f>B398*(((1+Dashboard!$C$20)^(1/30)))</f>
        <v>1197868.0115450043</v>
      </c>
      <c r="C399" s="1">
        <v>395</v>
      </c>
      <c r="D399" s="51">
        <f t="shared" si="93"/>
        <v>46568</v>
      </c>
      <c r="E399" s="7">
        <f t="shared" si="94"/>
        <v>0</v>
      </c>
      <c r="F399" s="31">
        <f>E399*Dashboard!$I$3</f>
        <v>0</v>
      </c>
      <c r="G399" s="18">
        <f>E382*Dashboard!$I$4</f>
        <v>0</v>
      </c>
      <c r="H399" s="48"/>
      <c r="I399" s="7">
        <f t="shared" si="95"/>
        <v>0</v>
      </c>
      <c r="J399" s="31">
        <f>I399*Dashboard!$I$3</f>
        <v>0</v>
      </c>
      <c r="K399" s="29">
        <f>I380*Dashboard!$I$4</f>
        <v>0</v>
      </c>
      <c r="L399" s="48"/>
      <c r="M399" s="7">
        <f t="shared" si="96"/>
        <v>0</v>
      </c>
      <c r="N399" s="31">
        <f>M399*Dashboard!$I$3</f>
        <v>0</v>
      </c>
      <c r="O399" s="18">
        <f>M378*Dashboard!$I$4</f>
        <v>21000</v>
      </c>
      <c r="P399" s="48"/>
      <c r="Q399" s="32">
        <f t="shared" si="85"/>
        <v>0</v>
      </c>
      <c r="R399" s="31">
        <f t="shared" si="86"/>
        <v>0</v>
      </c>
      <c r="S399" s="31">
        <f t="shared" si="87"/>
        <v>21000</v>
      </c>
      <c r="T399" s="31">
        <f t="shared" si="88"/>
        <v>21000</v>
      </c>
      <c r="U399" s="31">
        <f>U398-R399+S399+V399-Custos!D399+Z398+AF398+AL398-AB398-AH398-AM398</f>
        <v>1239982.024088199</v>
      </c>
      <c r="V399" s="31">
        <f>U398*(((1+Dashboard!$C$17)^(1/30))-1)</f>
        <v>458.77822452559928</v>
      </c>
      <c r="W399" s="29">
        <f t="shared" si="89"/>
        <v>1239982.024088199</v>
      </c>
      <c r="X399" s="45">
        <f>-R399+S399-Custos!D399</f>
        <v>20000</v>
      </c>
      <c r="Z399" s="85">
        <v>0</v>
      </c>
      <c r="AA399" s="33">
        <f>AC398*(((1+Dashboard!$C$20)^(1/30))-1)</f>
        <v>329.2652659169903</v>
      </c>
      <c r="AB399" s="33">
        <f>AC399</f>
        <v>718720.80692700052</v>
      </c>
      <c r="AC399" s="18">
        <f t="shared" si="97"/>
        <v>718720.80692700052</v>
      </c>
      <c r="AD399" s="47">
        <f t="shared" si="90"/>
        <v>718720.80692700052</v>
      </c>
      <c r="AF399" s="54">
        <v>0</v>
      </c>
      <c r="AG399" s="33">
        <f>AI398*(((1+Dashboard!$C$21)^(1/30))-1)</f>
        <v>62.57683838526323</v>
      </c>
      <c r="AH399" s="33">
        <f>AI399</f>
        <v>122334.75282953051</v>
      </c>
      <c r="AI399" s="29">
        <f t="shared" si="98"/>
        <v>122334.75282953051</v>
      </c>
      <c r="AJ399" s="45">
        <f t="shared" si="91"/>
        <v>122334.75282953051</v>
      </c>
      <c r="AL399" s="54">
        <v>0</v>
      </c>
      <c r="AM399" s="18">
        <f>U399-AB399-AH399</f>
        <v>398926.46433166799</v>
      </c>
      <c r="AN399" s="45">
        <f t="shared" si="92"/>
        <v>398926.46433166799</v>
      </c>
    </row>
    <row r="400" spans="2:40" x14ac:dyDescent="0.25">
      <c r="AB400" s="30"/>
      <c r="AH400" s="30"/>
      <c r="AM400" s="30"/>
    </row>
  </sheetData>
  <mergeCells count="7">
    <mergeCell ref="Z2:AC2"/>
    <mergeCell ref="AF2:AI2"/>
    <mergeCell ref="AL2:AM2"/>
    <mergeCell ref="E2:G2"/>
    <mergeCell ref="I2:K2"/>
    <mergeCell ref="M2:O2"/>
    <mergeCell ref="Q2:W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357F-59CE-4E9C-A316-A9CD450F8666}">
  <dimension ref="B1:N403"/>
  <sheetViews>
    <sheetView workbookViewId="0">
      <selection activeCell="L12" sqref="L12"/>
    </sheetView>
  </sheetViews>
  <sheetFormatPr defaultRowHeight="15" x14ac:dyDescent="0.25"/>
  <cols>
    <col min="3" max="3" width="10.28515625" bestFit="1" customWidth="1"/>
    <col min="4" max="7" width="12.85546875" bestFit="1" customWidth="1"/>
    <col min="8" max="8" width="11.85546875" bestFit="1" customWidth="1"/>
    <col min="9" max="9" width="12.85546875" bestFit="1" customWidth="1"/>
  </cols>
  <sheetData>
    <row r="1" spans="2:14" ht="15.75" thickBot="1" x14ac:dyDescent="0.3"/>
    <row r="2" spans="2:14" ht="15.75" thickBot="1" x14ac:dyDescent="0.3">
      <c r="D2" s="87" t="s">
        <v>35</v>
      </c>
      <c r="E2" s="88"/>
      <c r="F2" s="88"/>
      <c r="G2" s="88"/>
      <c r="H2" s="88"/>
      <c r="I2" s="89"/>
    </row>
    <row r="3" spans="2:14" x14ac:dyDescent="0.25">
      <c r="B3" s="52" t="s">
        <v>1</v>
      </c>
      <c r="C3" s="50" t="s">
        <v>2</v>
      </c>
      <c r="D3" s="2" t="s">
        <v>44</v>
      </c>
      <c r="E3" t="s">
        <v>45</v>
      </c>
      <c r="F3" t="s">
        <v>46</v>
      </c>
      <c r="G3" t="s">
        <v>36</v>
      </c>
      <c r="H3" t="s">
        <v>47</v>
      </c>
      <c r="I3" s="15" t="s">
        <v>49</v>
      </c>
    </row>
    <row r="4" spans="2:14" x14ac:dyDescent="0.25">
      <c r="B4" s="7">
        <v>0</v>
      </c>
      <c r="C4" s="15"/>
      <c r="D4" s="2"/>
      <c r="I4" s="15"/>
    </row>
    <row r="5" spans="2:14" x14ac:dyDescent="0.25">
      <c r="B5" s="7">
        <v>1</v>
      </c>
      <c r="C5" s="51">
        <v>46174</v>
      </c>
      <c r="D5" s="46">
        <f>E5+F5+G5+H5+I5</f>
        <v>11000</v>
      </c>
      <c r="E5" s="81">
        <f>Dashboard!$J$16/30</f>
        <v>500</v>
      </c>
      <c r="F5" s="81">
        <f>Dashboard!$J$15/30</f>
        <v>500</v>
      </c>
      <c r="G5">
        <v>0</v>
      </c>
      <c r="H5" s="30">
        <v>0</v>
      </c>
      <c r="I5" s="18">
        <v>10000</v>
      </c>
    </row>
    <row r="6" spans="2:14" x14ac:dyDescent="0.25">
      <c r="B6" s="7">
        <v>2</v>
      </c>
      <c r="C6" s="51">
        <f>C5+1</f>
        <v>46175</v>
      </c>
      <c r="D6" s="46">
        <f t="shared" ref="D6:D69" si="0">E6+F6+G6+H6+I6</f>
        <v>1503.4</v>
      </c>
      <c r="E6" s="30">
        <f>MAX(Dashboard!$J$16,(Dashboard!$I$16*Fundo!W5)/360)/30</f>
        <v>500</v>
      </c>
      <c r="F6" s="30">
        <f>MAX(Dashboard!$J$15,(Dashboard!$I$15*Fundo!W5)/360)/30</f>
        <v>500</v>
      </c>
      <c r="G6" s="81">
        <f>Fundo!R5*Dashboard!$I$14</f>
        <v>503.40000000000003</v>
      </c>
      <c r="H6" s="30">
        <v>0</v>
      </c>
      <c r="I6" s="18"/>
    </row>
    <row r="7" spans="2:14" x14ac:dyDescent="0.25">
      <c r="B7" s="7">
        <v>3</v>
      </c>
      <c r="C7" s="51">
        <f t="shared" ref="C7:C70" si="1">C6+1</f>
        <v>46176</v>
      </c>
      <c r="D7" s="46">
        <f t="shared" si="0"/>
        <v>1503.4</v>
      </c>
      <c r="E7" s="30">
        <f>MAX(Dashboard!$J$16,(Dashboard!$I$16*Fundo!W6)/360)/30</f>
        <v>500</v>
      </c>
      <c r="F7" s="30">
        <f>MAX(Dashboard!$J$15,(Dashboard!$I$15*Fundo!W6)/360)/30</f>
        <v>500</v>
      </c>
      <c r="G7" s="81">
        <f>Fundo!R6*Dashboard!$I$14</f>
        <v>503.40000000000003</v>
      </c>
      <c r="H7" s="30">
        <v>0</v>
      </c>
      <c r="I7" s="15"/>
    </row>
    <row r="8" spans="2:14" x14ac:dyDescent="0.25">
      <c r="B8" s="7">
        <v>4</v>
      </c>
      <c r="C8" s="51">
        <f t="shared" si="1"/>
        <v>46177</v>
      </c>
      <c r="D8" s="46">
        <f t="shared" si="0"/>
        <v>1503.4</v>
      </c>
      <c r="E8" s="30">
        <f>MAX(Dashboard!$J$16,(Dashboard!$I$16*Fundo!W7)/360)/30</f>
        <v>500</v>
      </c>
      <c r="F8" s="30">
        <f>MAX(Dashboard!$J$15,(Dashboard!$I$15*Fundo!W7)/360)/30</f>
        <v>500</v>
      </c>
      <c r="G8" s="81">
        <f>Fundo!R7*Dashboard!$I$14</f>
        <v>503.40000000000003</v>
      </c>
      <c r="H8" s="30">
        <v>0</v>
      </c>
      <c r="I8" s="15"/>
    </row>
    <row r="9" spans="2:14" x14ac:dyDescent="0.25">
      <c r="B9" s="7">
        <v>5</v>
      </c>
      <c r="C9" s="51">
        <f t="shared" si="1"/>
        <v>46178</v>
      </c>
      <c r="D9" s="46">
        <f t="shared" si="0"/>
        <v>1503.4</v>
      </c>
      <c r="E9" s="30">
        <f>MAX(Dashboard!$J$16,(Dashboard!$I$16*Fundo!W8)/360)/30</f>
        <v>500</v>
      </c>
      <c r="F9" s="30">
        <f>MAX(Dashboard!$J$15,(Dashboard!$I$15*Fundo!W8)/360)/30</f>
        <v>500</v>
      </c>
      <c r="G9" s="81">
        <f>Fundo!R8*Dashboard!$I$14</f>
        <v>503.40000000000003</v>
      </c>
      <c r="H9" s="30">
        <v>0</v>
      </c>
      <c r="I9" s="15"/>
    </row>
    <row r="10" spans="2:14" x14ac:dyDescent="0.25">
      <c r="B10" s="7">
        <v>6</v>
      </c>
      <c r="C10" s="51">
        <f t="shared" si="1"/>
        <v>46179</v>
      </c>
      <c r="D10" s="46">
        <f t="shared" si="0"/>
        <v>1503.4</v>
      </c>
      <c r="E10" s="30">
        <f>MAX(Dashboard!$J$16,(Dashboard!$I$16*Fundo!W9)/360)/30</f>
        <v>500</v>
      </c>
      <c r="F10" s="30">
        <f>MAX(Dashboard!$J$15,(Dashboard!$I$15*Fundo!W9)/360)/30</f>
        <v>500</v>
      </c>
      <c r="G10" s="81">
        <f>Fundo!R9*Dashboard!$I$14</f>
        <v>503.40000000000003</v>
      </c>
      <c r="H10" s="30">
        <v>0</v>
      </c>
      <c r="I10" s="15"/>
      <c r="N10" s="39"/>
    </row>
    <row r="11" spans="2:14" x14ac:dyDescent="0.25">
      <c r="B11" s="7">
        <v>7</v>
      </c>
      <c r="C11" s="51">
        <f t="shared" si="1"/>
        <v>46180</v>
      </c>
      <c r="D11" s="46">
        <f t="shared" si="0"/>
        <v>1503.4</v>
      </c>
      <c r="E11" s="30">
        <f>MAX(Dashboard!$J$16,(Dashboard!$I$16*Fundo!W10)/360)/30</f>
        <v>500</v>
      </c>
      <c r="F11" s="30">
        <f>MAX(Dashboard!$J$15,(Dashboard!$I$15*Fundo!W10)/360)/30</f>
        <v>500</v>
      </c>
      <c r="G11" s="81">
        <f>Fundo!R10*Dashboard!$I$14</f>
        <v>503.40000000000003</v>
      </c>
      <c r="H11" s="30">
        <v>0</v>
      </c>
      <c r="I11" s="15"/>
    </row>
    <row r="12" spans="2:14" x14ac:dyDescent="0.25">
      <c r="B12" s="7">
        <v>8</v>
      </c>
      <c r="C12" s="51">
        <f t="shared" si="1"/>
        <v>46181</v>
      </c>
      <c r="D12" s="46">
        <f t="shared" si="0"/>
        <v>1503.4</v>
      </c>
      <c r="E12" s="30">
        <f>MAX(Dashboard!$J$16,(Dashboard!$I$16*Fundo!W11)/360)/30</f>
        <v>500</v>
      </c>
      <c r="F12" s="30">
        <f>MAX(Dashboard!$J$15,(Dashboard!$I$15*Fundo!W11)/360)/30</f>
        <v>500</v>
      </c>
      <c r="G12" s="81">
        <f>Fundo!R11*Dashboard!$I$14</f>
        <v>503.40000000000003</v>
      </c>
      <c r="H12" s="30">
        <v>0</v>
      </c>
      <c r="I12" s="15"/>
    </row>
    <row r="13" spans="2:14" x14ac:dyDescent="0.25">
      <c r="B13" s="7">
        <v>9</v>
      </c>
      <c r="C13" s="51">
        <f t="shared" si="1"/>
        <v>46182</v>
      </c>
      <c r="D13" s="46">
        <f t="shared" si="0"/>
        <v>1503.4</v>
      </c>
      <c r="E13" s="30">
        <f>MAX(Dashboard!$J$16,(Dashboard!$I$16*Fundo!W12)/360)/30</f>
        <v>500</v>
      </c>
      <c r="F13" s="30">
        <f>MAX(Dashboard!$J$15,(Dashboard!$I$15*Fundo!W12)/360)/30</f>
        <v>500</v>
      </c>
      <c r="G13" s="81">
        <f>Fundo!R12*Dashboard!$I$14</f>
        <v>503.40000000000003</v>
      </c>
      <c r="H13" s="30">
        <v>0</v>
      </c>
      <c r="I13" s="15"/>
    </row>
    <row r="14" spans="2:14" x14ac:dyDescent="0.25">
      <c r="B14" s="7">
        <v>10</v>
      </c>
      <c r="C14" s="51">
        <f t="shared" si="1"/>
        <v>46183</v>
      </c>
      <c r="D14" s="46">
        <f t="shared" si="0"/>
        <v>1503.4</v>
      </c>
      <c r="E14" s="30">
        <f>MAX(Dashboard!$J$16,(Dashboard!$I$16*Fundo!W13)/360)/30</f>
        <v>500</v>
      </c>
      <c r="F14" s="30">
        <f>MAX(Dashboard!$J$15,(Dashboard!$I$15*Fundo!W13)/360)/30</f>
        <v>500</v>
      </c>
      <c r="G14" s="81">
        <f>Fundo!R13*Dashboard!$I$14</f>
        <v>503.40000000000003</v>
      </c>
      <c r="H14" s="30">
        <v>0</v>
      </c>
      <c r="I14" s="15"/>
    </row>
    <row r="15" spans="2:14" x14ac:dyDescent="0.25">
      <c r="B15" s="7">
        <v>11</v>
      </c>
      <c r="C15" s="51">
        <f t="shared" si="1"/>
        <v>46184</v>
      </c>
      <c r="D15" s="46">
        <f t="shared" si="0"/>
        <v>1503.4</v>
      </c>
      <c r="E15" s="30">
        <f>MAX(Dashboard!$J$16,(Dashboard!$I$16*Fundo!W14)/360)/30</f>
        <v>500</v>
      </c>
      <c r="F15" s="30">
        <f>MAX(Dashboard!$J$15,(Dashboard!$I$15*Fundo!W14)/360)/30</f>
        <v>500</v>
      </c>
      <c r="G15" s="81">
        <f>Fundo!R14*Dashboard!$I$14</f>
        <v>503.40000000000003</v>
      </c>
      <c r="H15" s="30">
        <v>0</v>
      </c>
      <c r="I15" s="15"/>
    </row>
    <row r="16" spans="2:14" x14ac:dyDescent="0.25">
      <c r="B16" s="7">
        <v>12</v>
      </c>
      <c r="C16" s="51">
        <f t="shared" si="1"/>
        <v>46185</v>
      </c>
      <c r="D16" s="46">
        <f t="shared" si="0"/>
        <v>1503.4</v>
      </c>
      <c r="E16" s="30">
        <f>MAX(Dashboard!$J$16,(Dashboard!$I$16*Fundo!W15)/360)/30</f>
        <v>500</v>
      </c>
      <c r="F16" s="30">
        <f>MAX(Dashboard!$J$15,(Dashboard!$I$15*Fundo!W15)/360)/30</f>
        <v>500</v>
      </c>
      <c r="G16" s="81">
        <f>Fundo!R15*Dashboard!$I$14</f>
        <v>503.40000000000003</v>
      </c>
      <c r="H16" s="30">
        <v>0</v>
      </c>
      <c r="I16" s="15"/>
    </row>
    <row r="17" spans="2:9" x14ac:dyDescent="0.25">
      <c r="B17" s="7">
        <v>13</v>
      </c>
      <c r="C17" s="51">
        <f t="shared" si="1"/>
        <v>46186</v>
      </c>
      <c r="D17" s="46">
        <f t="shared" si="0"/>
        <v>1503.4</v>
      </c>
      <c r="E17" s="30">
        <f>MAX(Dashboard!$J$16,(Dashboard!$I$16*Fundo!W16)/360)/30</f>
        <v>500</v>
      </c>
      <c r="F17" s="30">
        <f>MAX(Dashboard!$J$15,(Dashboard!$I$15*Fundo!W16)/360)/30</f>
        <v>500</v>
      </c>
      <c r="G17" s="81">
        <f>Fundo!R16*Dashboard!$I$14</f>
        <v>503.40000000000003</v>
      </c>
      <c r="H17" s="30">
        <v>0</v>
      </c>
      <c r="I17" s="15"/>
    </row>
    <row r="18" spans="2:9" x14ac:dyDescent="0.25">
      <c r="B18" s="7">
        <v>14</v>
      </c>
      <c r="C18" s="51">
        <f t="shared" si="1"/>
        <v>46187</v>
      </c>
      <c r="D18" s="46">
        <f t="shared" si="0"/>
        <v>1503.4</v>
      </c>
      <c r="E18" s="30">
        <f>MAX(Dashboard!$J$16,(Dashboard!$I$16*Fundo!W17)/360)/30</f>
        <v>500</v>
      </c>
      <c r="F18" s="30">
        <f>MAX(Dashboard!$J$15,(Dashboard!$I$15*Fundo!W17)/360)/30</f>
        <v>500</v>
      </c>
      <c r="G18" s="81">
        <f>Fundo!R17*Dashboard!$I$14</f>
        <v>503.40000000000003</v>
      </c>
      <c r="H18" s="30">
        <v>0</v>
      </c>
      <c r="I18" s="15"/>
    </row>
    <row r="19" spans="2:9" x14ac:dyDescent="0.25">
      <c r="B19" s="7">
        <v>15</v>
      </c>
      <c r="C19" s="51">
        <f t="shared" si="1"/>
        <v>46188</v>
      </c>
      <c r="D19" s="46">
        <f t="shared" si="0"/>
        <v>1503.4</v>
      </c>
      <c r="E19" s="30">
        <f>MAX(Dashboard!$J$16,(Dashboard!$I$16*Fundo!W18)/360)/30</f>
        <v>500</v>
      </c>
      <c r="F19" s="30">
        <f>MAX(Dashboard!$J$15,(Dashboard!$I$15*Fundo!W18)/360)/30</f>
        <v>500</v>
      </c>
      <c r="G19" s="81">
        <f>Fundo!R18*Dashboard!$I$14</f>
        <v>503.40000000000003</v>
      </c>
      <c r="H19" s="30">
        <v>0</v>
      </c>
      <c r="I19" s="15"/>
    </row>
    <row r="20" spans="2:9" x14ac:dyDescent="0.25">
      <c r="B20" s="7">
        <v>16</v>
      </c>
      <c r="C20" s="51">
        <f t="shared" si="1"/>
        <v>46189</v>
      </c>
      <c r="D20" s="46">
        <f t="shared" si="0"/>
        <v>1503.4</v>
      </c>
      <c r="E20" s="30">
        <f>MAX(Dashboard!$J$16,(Dashboard!$I$16*Fundo!W19)/360)/30</f>
        <v>500</v>
      </c>
      <c r="F20" s="30">
        <f>MAX(Dashboard!$J$15,(Dashboard!$I$15*Fundo!W19)/360)/30</f>
        <v>500</v>
      </c>
      <c r="G20" s="81">
        <f>Fundo!R19*Dashboard!$I$14</f>
        <v>503.40000000000003</v>
      </c>
      <c r="H20" s="30">
        <v>0</v>
      </c>
      <c r="I20" s="15"/>
    </row>
    <row r="21" spans="2:9" x14ac:dyDescent="0.25">
      <c r="B21" s="7">
        <v>17</v>
      </c>
      <c r="C21" s="51">
        <f t="shared" si="1"/>
        <v>46190</v>
      </c>
      <c r="D21" s="46">
        <f t="shared" si="0"/>
        <v>1503.4</v>
      </c>
      <c r="E21" s="30">
        <f>MAX(Dashboard!$J$16,(Dashboard!$I$16*Fundo!W20)/360)/30</f>
        <v>500</v>
      </c>
      <c r="F21" s="30">
        <f>MAX(Dashboard!$J$15,(Dashboard!$I$15*Fundo!W20)/360)/30</f>
        <v>500</v>
      </c>
      <c r="G21" s="81">
        <f>Fundo!R20*Dashboard!$I$14</f>
        <v>503.40000000000003</v>
      </c>
      <c r="H21" s="30">
        <v>0</v>
      </c>
      <c r="I21" s="15"/>
    </row>
    <row r="22" spans="2:9" x14ac:dyDescent="0.25">
      <c r="B22" s="7">
        <v>18</v>
      </c>
      <c r="C22" s="51">
        <f t="shared" si="1"/>
        <v>46191</v>
      </c>
      <c r="D22" s="46">
        <f t="shared" si="0"/>
        <v>1503.4</v>
      </c>
      <c r="E22" s="30">
        <f>MAX(Dashboard!$J$16,(Dashboard!$I$16*Fundo!W21)/360)/30</f>
        <v>500</v>
      </c>
      <c r="F22" s="30">
        <f>MAX(Dashboard!$J$15,(Dashboard!$I$15*Fundo!W21)/360)/30</f>
        <v>500</v>
      </c>
      <c r="G22" s="81">
        <f>Fundo!R21*Dashboard!$I$14</f>
        <v>503.40000000000003</v>
      </c>
      <c r="H22" s="30">
        <v>0</v>
      </c>
      <c r="I22" s="15"/>
    </row>
    <row r="23" spans="2:9" x14ac:dyDescent="0.25">
      <c r="B23" s="7">
        <v>19</v>
      </c>
      <c r="C23" s="51">
        <f t="shared" si="1"/>
        <v>46192</v>
      </c>
      <c r="D23" s="46">
        <f t="shared" si="0"/>
        <v>1503.4</v>
      </c>
      <c r="E23" s="30">
        <f>MAX(Dashboard!$J$16,(Dashboard!$I$16*Fundo!W22)/360)/30</f>
        <v>500</v>
      </c>
      <c r="F23" s="30">
        <f>MAX(Dashboard!$J$15,(Dashboard!$I$15*Fundo!W22)/360)/30</f>
        <v>500</v>
      </c>
      <c r="G23" s="81">
        <f>Fundo!R22*Dashboard!$I$14</f>
        <v>503.40000000000003</v>
      </c>
      <c r="H23" s="30">
        <v>0</v>
      </c>
      <c r="I23" s="15"/>
    </row>
    <row r="24" spans="2:9" x14ac:dyDescent="0.25">
      <c r="B24" s="7">
        <v>20</v>
      </c>
      <c r="C24" s="51">
        <f t="shared" si="1"/>
        <v>46193</v>
      </c>
      <c r="D24" s="46">
        <f t="shared" si="0"/>
        <v>1503.4</v>
      </c>
      <c r="E24" s="30">
        <f>MAX(Dashboard!$J$16,(Dashboard!$I$16*Fundo!W23)/360)/30</f>
        <v>500</v>
      </c>
      <c r="F24" s="30">
        <f>MAX(Dashboard!$J$15,(Dashboard!$I$15*Fundo!W23)/360)/30</f>
        <v>500</v>
      </c>
      <c r="G24" s="81">
        <f>Fundo!R23*Dashboard!$I$14</f>
        <v>503.40000000000003</v>
      </c>
      <c r="H24" s="30">
        <v>0</v>
      </c>
      <c r="I24" s="15"/>
    </row>
    <row r="25" spans="2:9" x14ac:dyDescent="0.25">
      <c r="B25" s="7">
        <v>21</v>
      </c>
      <c r="C25" s="51">
        <f t="shared" si="1"/>
        <v>46194</v>
      </c>
      <c r="D25" s="46">
        <f t="shared" si="0"/>
        <v>1503.4</v>
      </c>
      <c r="E25" s="30">
        <f>MAX(Dashboard!$J$16,(Dashboard!$I$16*Fundo!W24)/360)/30</f>
        <v>500</v>
      </c>
      <c r="F25" s="30">
        <f>MAX(Dashboard!$J$15,(Dashboard!$I$15*Fundo!W24)/360)/30</f>
        <v>500</v>
      </c>
      <c r="G25" s="81">
        <f>Fundo!R24*Dashboard!$I$14</f>
        <v>503.40000000000003</v>
      </c>
      <c r="H25" s="30">
        <v>0</v>
      </c>
      <c r="I25" s="15"/>
    </row>
    <row r="26" spans="2:9" x14ac:dyDescent="0.25">
      <c r="B26" s="7">
        <v>22</v>
      </c>
      <c r="C26" s="51">
        <f t="shared" si="1"/>
        <v>46195</v>
      </c>
      <c r="D26" s="46">
        <f t="shared" si="0"/>
        <v>1503.4</v>
      </c>
      <c r="E26" s="30">
        <f>MAX(Dashboard!$J$16,(Dashboard!$I$16*Fundo!W25)/360)/30</f>
        <v>500</v>
      </c>
      <c r="F26" s="30">
        <f>MAX(Dashboard!$J$15,(Dashboard!$I$15*Fundo!W25)/360)/30</f>
        <v>500</v>
      </c>
      <c r="G26" s="81">
        <f>Fundo!R25*Dashboard!$I$14</f>
        <v>503.40000000000003</v>
      </c>
      <c r="H26" s="30">
        <v>0</v>
      </c>
      <c r="I26" s="15"/>
    </row>
    <row r="27" spans="2:9" x14ac:dyDescent="0.25">
      <c r="B27" s="7">
        <v>23</v>
      </c>
      <c r="C27" s="51">
        <f t="shared" si="1"/>
        <v>46196</v>
      </c>
      <c r="D27" s="46">
        <f t="shared" si="0"/>
        <v>1503.4</v>
      </c>
      <c r="E27" s="30">
        <f>MAX(Dashboard!$J$16,(Dashboard!$I$16*Fundo!W26)/360)/30</f>
        <v>500</v>
      </c>
      <c r="F27" s="30">
        <f>MAX(Dashboard!$J$15,(Dashboard!$I$15*Fundo!W26)/360)/30</f>
        <v>500</v>
      </c>
      <c r="G27" s="81">
        <f>Fundo!R26*Dashboard!$I$14</f>
        <v>503.40000000000003</v>
      </c>
      <c r="H27" s="30">
        <v>0</v>
      </c>
      <c r="I27" s="15"/>
    </row>
    <row r="28" spans="2:9" x14ac:dyDescent="0.25">
      <c r="B28" s="7">
        <v>24</v>
      </c>
      <c r="C28" s="51">
        <f t="shared" si="1"/>
        <v>46197</v>
      </c>
      <c r="D28" s="46">
        <f t="shared" si="0"/>
        <v>1503.4</v>
      </c>
      <c r="E28" s="30">
        <f>MAX(Dashboard!$J$16,(Dashboard!$I$16*Fundo!W27)/360)/30</f>
        <v>500</v>
      </c>
      <c r="F28" s="30">
        <f>MAX(Dashboard!$J$15,(Dashboard!$I$15*Fundo!W27)/360)/30</f>
        <v>500</v>
      </c>
      <c r="G28" s="81">
        <f>Fundo!R27*Dashboard!$I$14</f>
        <v>503.40000000000003</v>
      </c>
      <c r="H28" s="30">
        <v>0</v>
      </c>
      <c r="I28" s="15"/>
    </row>
    <row r="29" spans="2:9" x14ac:dyDescent="0.25">
      <c r="B29" s="7">
        <v>25</v>
      </c>
      <c r="C29" s="51">
        <f t="shared" si="1"/>
        <v>46198</v>
      </c>
      <c r="D29" s="46">
        <f t="shared" si="0"/>
        <v>1503.4</v>
      </c>
      <c r="E29" s="30">
        <f>MAX(Dashboard!$J$16,(Dashboard!$I$16*Fundo!W28)/360)/30</f>
        <v>500</v>
      </c>
      <c r="F29" s="30">
        <f>MAX(Dashboard!$J$15,(Dashboard!$I$15*Fundo!W28)/360)/30</f>
        <v>500</v>
      </c>
      <c r="G29" s="81">
        <f>Fundo!R28*Dashboard!$I$14</f>
        <v>503.40000000000003</v>
      </c>
      <c r="H29" s="30">
        <v>0</v>
      </c>
      <c r="I29" s="15"/>
    </row>
    <row r="30" spans="2:9" x14ac:dyDescent="0.25">
      <c r="B30" s="7">
        <v>26</v>
      </c>
      <c r="C30" s="51">
        <f t="shared" si="1"/>
        <v>46199</v>
      </c>
      <c r="D30" s="46">
        <f t="shared" si="0"/>
        <v>1503.4</v>
      </c>
      <c r="E30" s="30">
        <f>MAX(Dashboard!$J$16,(Dashboard!$I$16*Fundo!W29)/360)/30</f>
        <v>500</v>
      </c>
      <c r="F30" s="30">
        <f>MAX(Dashboard!$J$15,(Dashboard!$I$15*Fundo!W29)/360)/30</f>
        <v>500</v>
      </c>
      <c r="G30" s="81">
        <f>Fundo!R29*Dashboard!$I$14</f>
        <v>503.40000000000003</v>
      </c>
      <c r="H30" s="30">
        <v>0</v>
      </c>
      <c r="I30" s="15"/>
    </row>
    <row r="31" spans="2:9" x14ac:dyDescent="0.25">
      <c r="B31" s="7">
        <v>27</v>
      </c>
      <c r="C31" s="51">
        <f t="shared" si="1"/>
        <v>46200</v>
      </c>
      <c r="D31" s="46">
        <f t="shared" si="0"/>
        <v>1503.4</v>
      </c>
      <c r="E31" s="30">
        <f>MAX(Dashboard!$J$16,(Dashboard!$I$16*Fundo!W30)/360)/30</f>
        <v>500</v>
      </c>
      <c r="F31" s="30">
        <f>MAX(Dashboard!$J$15,(Dashboard!$I$15*Fundo!W30)/360)/30</f>
        <v>500</v>
      </c>
      <c r="G31" s="81">
        <f>Fundo!R30*Dashboard!$I$14</f>
        <v>503.40000000000003</v>
      </c>
      <c r="H31" s="30">
        <v>0</v>
      </c>
      <c r="I31" s="15"/>
    </row>
    <row r="32" spans="2:9" x14ac:dyDescent="0.25">
      <c r="B32" s="7">
        <v>28</v>
      </c>
      <c r="C32" s="51">
        <f t="shared" si="1"/>
        <v>46201</v>
      </c>
      <c r="D32" s="46">
        <f t="shared" si="0"/>
        <v>1503.4</v>
      </c>
      <c r="E32" s="30">
        <f>MAX(Dashboard!$J$16,(Dashboard!$I$16*Fundo!W31)/360)/30</f>
        <v>500</v>
      </c>
      <c r="F32" s="30">
        <f>MAX(Dashboard!$J$15,(Dashboard!$I$15*Fundo!W31)/360)/30</f>
        <v>500</v>
      </c>
      <c r="G32" s="81">
        <f>Fundo!R31*Dashboard!$I$14</f>
        <v>503.40000000000003</v>
      </c>
      <c r="H32" s="30">
        <v>0</v>
      </c>
      <c r="I32" s="15"/>
    </row>
    <row r="33" spans="2:9" x14ac:dyDescent="0.25">
      <c r="B33" s="7">
        <v>29</v>
      </c>
      <c r="C33" s="51">
        <f t="shared" si="1"/>
        <v>46202</v>
      </c>
      <c r="D33" s="46">
        <f t="shared" si="0"/>
        <v>1503.4</v>
      </c>
      <c r="E33" s="30">
        <f>MAX(Dashboard!$J$16,(Dashboard!$I$16*Fundo!W32)/360)/30</f>
        <v>500</v>
      </c>
      <c r="F33" s="30">
        <f>MAX(Dashboard!$J$15,(Dashboard!$I$15*Fundo!W32)/360)/30</f>
        <v>500</v>
      </c>
      <c r="G33" s="81">
        <f>Fundo!R32*Dashboard!$I$14</f>
        <v>503.40000000000003</v>
      </c>
      <c r="H33" s="30">
        <v>0</v>
      </c>
      <c r="I33" s="15"/>
    </row>
    <row r="34" spans="2:9" x14ac:dyDescent="0.25">
      <c r="B34" s="7">
        <v>30</v>
      </c>
      <c r="C34" s="51">
        <f t="shared" si="1"/>
        <v>46203</v>
      </c>
      <c r="D34" s="46">
        <f t="shared" si="0"/>
        <v>1503.4</v>
      </c>
      <c r="E34" s="30">
        <f>MAX(Dashboard!$J$16,(Dashboard!$I$16*Fundo!W33)/360)/30</f>
        <v>500</v>
      </c>
      <c r="F34" s="30">
        <f>MAX(Dashboard!$J$15,(Dashboard!$I$15*Fundo!W33)/360)/30</f>
        <v>500</v>
      </c>
      <c r="G34" s="81">
        <f>Fundo!R33*Dashboard!$I$14</f>
        <v>503.40000000000003</v>
      </c>
      <c r="H34" s="30">
        <v>0</v>
      </c>
      <c r="I34" s="15"/>
    </row>
    <row r="35" spans="2:9" x14ac:dyDescent="0.25">
      <c r="B35" s="7">
        <v>31</v>
      </c>
      <c r="C35" s="51">
        <f t="shared" si="1"/>
        <v>46204</v>
      </c>
      <c r="D35" s="46">
        <f t="shared" si="0"/>
        <v>1503.4</v>
      </c>
      <c r="E35" s="30">
        <f>MAX(Dashboard!$J$16,(Dashboard!$I$16*Fundo!W34)/360)/30</f>
        <v>500</v>
      </c>
      <c r="F35" s="30">
        <f>MAX(Dashboard!$J$15,(Dashboard!$I$15*Fundo!W34)/360)/30</f>
        <v>500</v>
      </c>
      <c r="G35" s="81">
        <f>Fundo!R34*Dashboard!$I$14</f>
        <v>503.40000000000003</v>
      </c>
      <c r="H35" s="30">
        <v>0</v>
      </c>
      <c r="I35" s="15"/>
    </row>
    <row r="36" spans="2:9" x14ac:dyDescent="0.25">
      <c r="B36" s="7">
        <v>32</v>
      </c>
      <c r="C36" s="51">
        <f t="shared" si="1"/>
        <v>46205</v>
      </c>
      <c r="D36" s="46">
        <f t="shared" si="0"/>
        <v>1503.4</v>
      </c>
      <c r="E36" s="30">
        <f>MAX(Dashboard!$J$16,(Dashboard!$I$16*Fundo!W35)/360)/30</f>
        <v>500</v>
      </c>
      <c r="F36" s="30">
        <f>MAX(Dashboard!$J$15,(Dashboard!$I$15*Fundo!W35)/360)/30</f>
        <v>500</v>
      </c>
      <c r="G36" s="81">
        <f>Fundo!R35*Dashboard!$I$14</f>
        <v>503.40000000000003</v>
      </c>
      <c r="H36" s="30">
        <v>0</v>
      </c>
      <c r="I36" s="15"/>
    </row>
    <row r="37" spans="2:9" x14ac:dyDescent="0.25">
      <c r="B37" s="7">
        <v>33</v>
      </c>
      <c r="C37" s="51">
        <f t="shared" si="1"/>
        <v>46206</v>
      </c>
      <c r="D37" s="46">
        <f t="shared" si="0"/>
        <v>1503.4</v>
      </c>
      <c r="E37" s="30">
        <f>MAX(Dashboard!$J$16,(Dashboard!$I$16*Fundo!W36)/360)/30</f>
        <v>500</v>
      </c>
      <c r="F37" s="30">
        <f>MAX(Dashboard!$J$15,(Dashboard!$I$15*Fundo!W36)/360)/30</f>
        <v>500</v>
      </c>
      <c r="G37" s="81">
        <f>Fundo!R36*Dashboard!$I$14</f>
        <v>503.40000000000003</v>
      </c>
      <c r="H37" s="30">
        <v>0</v>
      </c>
      <c r="I37" s="15"/>
    </row>
    <row r="38" spans="2:9" x14ac:dyDescent="0.25">
      <c r="B38" s="7">
        <v>34</v>
      </c>
      <c r="C38" s="51">
        <f t="shared" si="1"/>
        <v>46207</v>
      </c>
      <c r="D38" s="46">
        <f t="shared" si="0"/>
        <v>1503.4</v>
      </c>
      <c r="E38" s="30">
        <f>MAX(Dashboard!$J$16,(Dashboard!$I$16*Fundo!W37)/360)/30</f>
        <v>500</v>
      </c>
      <c r="F38" s="30">
        <f>MAX(Dashboard!$J$15,(Dashboard!$I$15*Fundo!W37)/360)/30</f>
        <v>500</v>
      </c>
      <c r="G38" s="81">
        <f>Fundo!R37*Dashboard!$I$14</f>
        <v>503.40000000000003</v>
      </c>
      <c r="H38" s="30">
        <v>0</v>
      </c>
      <c r="I38" s="15"/>
    </row>
    <row r="39" spans="2:9" x14ac:dyDescent="0.25">
      <c r="B39" s="7">
        <v>35</v>
      </c>
      <c r="C39" s="51">
        <f t="shared" si="1"/>
        <v>46208</v>
      </c>
      <c r="D39" s="46">
        <f t="shared" si="0"/>
        <v>1503.4</v>
      </c>
      <c r="E39" s="30">
        <f>MAX(Dashboard!$J$16,(Dashboard!$I$16*Fundo!W38)/360)/30</f>
        <v>500</v>
      </c>
      <c r="F39" s="30">
        <f>MAX(Dashboard!$J$15,(Dashboard!$I$15*Fundo!W38)/360)/30</f>
        <v>500</v>
      </c>
      <c r="G39" s="81">
        <f>Fundo!R38*Dashboard!$I$14</f>
        <v>503.40000000000003</v>
      </c>
      <c r="H39" s="30">
        <v>0</v>
      </c>
      <c r="I39" s="15"/>
    </row>
    <row r="40" spans="2:9" x14ac:dyDescent="0.25">
      <c r="B40" s="7">
        <v>36</v>
      </c>
      <c r="C40" s="51">
        <f t="shared" si="1"/>
        <v>46209</v>
      </c>
      <c r="D40" s="46">
        <f t="shared" si="0"/>
        <v>1503.4</v>
      </c>
      <c r="E40" s="30">
        <f>MAX(Dashboard!$J$16,(Dashboard!$I$16*Fundo!W39)/360)/30</f>
        <v>500</v>
      </c>
      <c r="F40" s="30">
        <f>MAX(Dashboard!$J$15,(Dashboard!$I$15*Fundo!W39)/360)/30</f>
        <v>500</v>
      </c>
      <c r="G40" s="81">
        <f>Fundo!R39*Dashboard!$I$14</f>
        <v>503.40000000000003</v>
      </c>
      <c r="H40" s="30">
        <v>0</v>
      </c>
      <c r="I40" s="15"/>
    </row>
    <row r="41" spans="2:9" x14ac:dyDescent="0.25">
      <c r="B41" s="7">
        <v>37</v>
      </c>
      <c r="C41" s="51">
        <f t="shared" si="1"/>
        <v>46210</v>
      </c>
      <c r="D41" s="46">
        <f t="shared" si="0"/>
        <v>1503.4</v>
      </c>
      <c r="E41" s="30">
        <f>MAX(Dashboard!$J$16,(Dashboard!$I$16*Fundo!W40)/360)/30</f>
        <v>500</v>
      </c>
      <c r="F41" s="30">
        <f>MAX(Dashboard!$J$15,(Dashboard!$I$15*Fundo!W40)/360)/30</f>
        <v>500</v>
      </c>
      <c r="G41" s="81">
        <f>Fundo!R40*Dashboard!$I$14</f>
        <v>503.40000000000003</v>
      </c>
      <c r="H41" s="30">
        <v>0</v>
      </c>
      <c r="I41" s="15"/>
    </row>
    <row r="42" spans="2:9" x14ac:dyDescent="0.25">
      <c r="B42" s="7">
        <v>38</v>
      </c>
      <c r="C42" s="51">
        <f t="shared" si="1"/>
        <v>46211</v>
      </c>
      <c r="D42" s="46">
        <f t="shared" si="0"/>
        <v>1503.4</v>
      </c>
      <c r="E42" s="30">
        <f>MAX(Dashboard!$J$16,(Dashboard!$I$16*Fundo!W41)/360)/30</f>
        <v>500</v>
      </c>
      <c r="F42" s="30">
        <f>MAX(Dashboard!$J$15,(Dashboard!$I$15*Fundo!W41)/360)/30</f>
        <v>500</v>
      </c>
      <c r="G42" s="81">
        <f>Fundo!R41*Dashboard!$I$14</f>
        <v>503.40000000000003</v>
      </c>
      <c r="H42" s="30">
        <v>0</v>
      </c>
      <c r="I42" s="15"/>
    </row>
    <row r="43" spans="2:9" x14ac:dyDescent="0.25">
      <c r="B43" s="7">
        <v>39</v>
      </c>
      <c r="C43" s="51">
        <f t="shared" si="1"/>
        <v>46212</v>
      </c>
      <c r="D43" s="46">
        <f t="shared" si="0"/>
        <v>1503.4</v>
      </c>
      <c r="E43" s="30">
        <f>MAX(Dashboard!$J$16,(Dashboard!$I$16*Fundo!W42)/360)/30</f>
        <v>500</v>
      </c>
      <c r="F43" s="30">
        <f>MAX(Dashboard!$J$15,(Dashboard!$I$15*Fundo!W42)/360)/30</f>
        <v>500</v>
      </c>
      <c r="G43" s="81">
        <f>Fundo!R42*Dashboard!$I$14</f>
        <v>503.40000000000003</v>
      </c>
      <c r="H43" s="30">
        <v>0</v>
      </c>
      <c r="I43" s="15"/>
    </row>
    <row r="44" spans="2:9" x14ac:dyDescent="0.25">
      <c r="B44" s="7">
        <v>40</v>
      </c>
      <c r="C44" s="51">
        <f t="shared" si="1"/>
        <v>46213</v>
      </c>
      <c r="D44" s="46">
        <f t="shared" si="0"/>
        <v>1503.4</v>
      </c>
      <c r="E44" s="30">
        <f>MAX(Dashboard!$J$16,(Dashboard!$I$16*Fundo!W43)/360)/30</f>
        <v>500</v>
      </c>
      <c r="F44" s="30">
        <f>MAX(Dashboard!$J$15,(Dashboard!$I$15*Fundo!W43)/360)/30</f>
        <v>500</v>
      </c>
      <c r="G44" s="81">
        <f>Fundo!R43*Dashboard!$I$14</f>
        <v>503.40000000000003</v>
      </c>
      <c r="H44" s="30">
        <v>0</v>
      </c>
      <c r="I44" s="15"/>
    </row>
    <row r="45" spans="2:9" x14ac:dyDescent="0.25">
      <c r="B45" s="7">
        <v>41</v>
      </c>
      <c r="C45" s="51">
        <f t="shared" si="1"/>
        <v>46214</v>
      </c>
      <c r="D45" s="46">
        <f t="shared" si="0"/>
        <v>1503.4</v>
      </c>
      <c r="E45" s="30">
        <f>MAX(Dashboard!$J$16,(Dashboard!$I$16*Fundo!W44)/360)/30</f>
        <v>500</v>
      </c>
      <c r="F45" s="30">
        <f>MAX(Dashboard!$J$15,(Dashboard!$I$15*Fundo!W44)/360)/30</f>
        <v>500</v>
      </c>
      <c r="G45" s="81">
        <f>Fundo!R44*Dashboard!$I$14</f>
        <v>503.40000000000003</v>
      </c>
      <c r="H45" s="30">
        <v>0</v>
      </c>
      <c r="I45" s="15"/>
    </row>
    <row r="46" spans="2:9" x14ac:dyDescent="0.25">
      <c r="B46" s="7">
        <v>42</v>
      </c>
      <c r="C46" s="51">
        <f t="shared" si="1"/>
        <v>46215</v>
      </c>
      <c r="D46" s="46">
        <f t="shared" si="0"/>
        <v>1503.4</v>
      </c>
      <c r="E46" s="30">
        <f>MAX(Dashboard!$J$16,(Dashboard!$I$16*Fundo!W45)/360)/30</f>
        <v>500</v>
      </c>
      <c r="F46" s="30">
        <f>MAX(Dashboard!$J$15,(Dashboard!$I$15*Fundo!W45)/360)/30</f>
        <v>500</v>
      </c>
      <c r="G46" s="81">
        <f>Fundo!R45*Dashboard!$I$14</f>
        <v>503.40000000000003</v>
      </c>
      <c r="H46" s="30">
        <v>0</v>
      </c>
      <c r="I46" s="15"/>
    </row>
    <row r="47" spans="2:9" x14ac:dyDescent="0.25">
      <c r="B47" s="7">
        <v>43</v>
      </c>
      <c r="C47" s="51">
        <f t="shared" si="1"/>
        <v>46216</v>
      </c>
      <c r="D47" s="46">
        <f t="shared" si="0"/>
        <v>1503.4</v>
      </c>
      <c r="E47" s="30">
        <f>MAX(Dashboard!$J$16,(Dashboard!$I$16*Fundo!W46)/360)/30</f>
        <v>500</v>
      </c>
      <c r="F47" s="30">
        <f>MAX(Dashboard!$J$15,(Dashboard!$I$15*Fundo!W46)/360)/30</f>
        <v>500</v>
      </c>
      <c r="G47" s="81">
        <f>Fundo!R46*Dashboard!$I$14</f>
        <v>503.40000000000003</v>
      </c>
      <c r="H47" s="30">
        <v>0</v>
      </c>
      <c r="I47" s="15"/>
    </row>
    <row r="48" spans="2:9" x14ac:dyDescent="0.25">
      <c r="B48" s="7">
        <v>44</v>
      </c>
      <c r="C48" s="51">
        <f t="shared" si="1"/>
        <v>46217</v>
      </c>
      <c r="D48" s="46">
        <f t="shared" si="0"/>
        <v>1503.4</v>
      </c>
      <c r="E48" s="30">
        <f>MAX(Dashboard!$J$16,(Dashboard!$I$16*Fundo!W47)/360)/30</f>
        <v>500</v>
      </c>
      <c r="F48" s="30">
        <f>MAX(Dashboard!$J$15,(Dashboard!$I$15*Fundo!W47)/360)/30</f>
        <v>500</v>
      </c>
      <c r="G48" s="81">
        <f>Fundo!R47*Dashboard!$I$14</f>
        <v>503.40000000000003</v>
      </c>
      <c r="H48" s="30">
        <v>0</v>
      </c>
      <c r="I48" s="15"/>
    </row>
    <row r="49" spans="2:9" x14ac:dyDescent="0.25">
      <c r="B49" s="7">
        <v>45</v>
      </c>
      <c r="C49" s="51">
        <f t="shared" si="1"/>
        <v>46218</v>
      </c>
      <c r="D49" s="46">
        <f t="shared" si="0"/>
        <v>1503.4</v>
      </c>
      <c r="E49" s="30">
        <f>MAX(Dashboard!$J$16,(Dashboard!$I$16*Fundo!W48)/360)/30</f>
        <v>500</v>
      </c>
      <c r="F49" s="30">
        <f>MAX(Dashboard!$J$15,(Dashboard!$I$15*Fundo!W48)/360)/30</f>
        <v>500</v>
      </c>
      <c r="G49" s="81">
        <f>Fundo!R48*Dashboard!$I$14</f>
        <v>503.40000000000003</v>
      </c>
      <c r="H49" s="30">
        <v>0</v>
      </c>
      <c r="I49" s="15"/>
    </row>
    <row r="50" spans="2:9" x14ac:dyDescent="0.25">
      <c r="B50" s="7">
        <v>46</v>
      </c>
      <c r="C50" s="51">
        <f t="shared" si="1"/>
        <v>46219</v>
      </c>
      <c r="D50" s="46">
        <f t="shared" si="0"/>
        <v>1503.4</v>
      </c>
      <c r="E50" s="30">
        <f>MAX(Dashboard!$J$16,(Dashboard!$I$16*Fundo!W49)/360)/30</f>
        <v>500</v>
      </c>
      <c r="F50" s="30">
        <f>MAX(Dashboard!$J$15,(Dashboard!$I$15*Fundo!W49)/360)/30</f>
        <v>500</v>
      </c>
      <c r="G50" s="81">
        <f>Fundo!R49*Dashboard!$I$14</f>
        <v>503.40000000000003</v>
      </c>
      <c r="H50" s="30">
        <v>0</v>
      </c>
      <c r="I50" s="15"/>
    </row>
    <row r="51" spans="2:9" x14ac:dyDescent="0.25">
      <c r="B51" s="7">
        <v>47</v>
      </c>
      <c r="C51" s="51">
        <f t="shared" si="1"/>
        <v>46220</v>
      </c>
      <c r="D51" s="46">
        <f t="shared" si="0"/>
        <v>1503.4</v>
      </c>
      <c r="E51" s="30">
        <f>MAX(Dashboard!$J$16,(Dashboard!$I$16*Fundo!W50)/360)/30</f>
        <v>500</v>
      </c>
      <c r="F51" s="30">
        <f>MAX(Dashboard!$J$15,(Dashboard!$I$15*Fundo!W50)/360)/30</f>
        <v>500</v>
      </c>
      <c r="G51" s="81">
        <f>Fundo!R50*Dashboard!$I$14</f>
        <v>503.40000000000003</v>
      </c>
      <c r="H51" s="30">
        <v>0</v>
      </c>
      <c r="I51" s="15"/>
    </row>
    <row r="52" spans="2:9" x14ac:dyDescent="0.25">
      <c r="B52" s="7">
        <v>48</v>
      </c>
      <c r="C52" s="51">
        <f t="shared" si="1"/>
        <v>46221</v>
      </c>
      <c r="D52" s="46">
        <f t="shared" si="0"/>
        <v>1503.4</v>
      </c>
      <c r="E52" s="30">
        <f>MAX(Dashboard!$J$16,(Dashboard!$I$16*Fundo!W51)/360)/30</f>
        <v>500</v>
      </c>
      <c r="F52" s="30">
        <f>MAX(Dashboard!$J$15,(Dashboard!$I$15*Fundo!W51)/360)/30</f>
        <v>500</v>
      </c>
      <c r="G52" s="81">
        <f>Fundo!R51*Dashboard!$I$14</f>
        <v>503.40000000000003</v>
      </c>
      <c r="H52" s="30">
        <v>0</v>
      </c>
      <c r="I52" s="15"/>
    </row>
    <row r="53" spans="2:9" x14ac:dyDescent="0.25">
      <c r="B53" s="7">
        <v>49</v>
      </c>
      <c r="C53" s="51">
        <f t="shared" si="1"/>
        <v>46222</v>
      </c>
      <c r="D53" s="46">
        <f t="shared" si="0"/>
        <v>1503.4</v>
      </c>
      <c r="E53" s="30">
        <f>MAX(Dashboard!$J$16,(Dashboard!$I$16*Fundo!W52)/360)/30</f>
        <v>500</v>
      </c>
      <c r="F53" s="30">
        <f>MAX(Dashboard!$J$15,(Dashboard!$I$15*Fundo!W52)/360)/30</f>
        <v>500</v>
      </c>
      <c r="G53" s="81">
        <f>Fundo!R52*Dashboard!$I$14</f>
        <v>503.40000000000003</v>
      </c>
      <c r="H53" s="30">
        <v>0</v>
      </c>
      <c r="I53" s="15"/>
    </row>
    <row r="54" spans="2:9" x14ac:dyDescent="0.25">
      <c r="B54" s="7">
        <v>50</v>
      </c>
      <c r="C54" s="51">
        <f t="shared" si="1"/>
        <v>46223</v>
      </c>
      <c r="D54" s="46">
        <f t="shared" si="0"/>
        <v>1503.4</v>
      </c>
      <c r="E54" s="30">
        <f>MAX(Dashboard!$J$16,(Dashboard!$I$16*Fundo!W53)/360)/30</f>
        <v>500</v>
      </c>
      <c r="F54" s="30">
        <f>MAX(Dashboard!$J$15,(Dashboard!$I$15*Fundo!W53)/360)/30</f>
        <v>500</v>
      </c>
      <c r="G54" s="81">
        <f>Fundo!R53*Dashboard!$I$14</f>
        <v>503.40000000000003</v>
      </c>
      <c r="H54" s="30">
        <v>0</v>
      </c>
      <c r="I54" s="15"/>
    </row>
    <row r="55" spans="2:9" x14ac:dyDescent="0.25">
      <c r="B55" s="7">
        <v>51</v>
      </c>
      <c r="C55" s="51">
        <f t="shared" si="1"/>
        <v>46224</v>
      </c>
      <c r="D55" s="46">
        <f t="shared" si="0"/>
        <v>1503.4</v>
      </c>
      <c r="E55" s="30">
        <f>MAX(Dashboard!$J$16,(Dashboard!$I$16*Fundo!W54)/360)/30</f>
        <v>500</v>
      </c>
      <c r="F55" s="30">
        <f>MAX(Dashboard!$J$15,(Dashboard!$I$15*Fundo!W54)/360)/30</f>
        <v>500</v>
      </c>
      <c r="G55" s="81">
        <f>Fundo!R54*Dashboard!$I$14</f>
        <v>503.40000000000003</v>
      </c>
      <c r="H55" s="30">
        <v>0</v>
      </c>
      <c r="I55" s="15"/>
    </row>
    <row r="56" spans="2:9" x14ac:dyDescent="0.25">
      <c r="B56" s="7">
        <v>52</v>
      </c>
      <c r="C56" s="51">
        <f t="shared" si="1"/>
        <v>46225</v>
      </c>
      <c r="D56" s="46">
        <f t="shared" si="0"/>
        <v>1503.4</v>
      </c>
      <c r="E56" s="30">
        <f>MAX(Dashboard!$J$16,(Dashboard!$I$16*Fundo!W55)/360)/30</f>
        <v>500</v>
      </c>
      <c r="F56" s="30">
        <f>MAX(Dashboard!$J$15,(Dashboard!$I$15*Fundo!W55)/360)/30</f>
        <v>500</v>
      </c>
      <c r="G56" s="81">
        <f>Fundo!R55*Dashboard!$I$14</f>
        <v>503.40000000000003</v>
      </c>
      <c r="H56" s="30">
        <v>0</v>
      </c>
      <c r="I56" s="15"/>
    </row>
    <row r="57" spans="2:9" x14ac:dyDescent="0.25">
      <c r="B57" s="7">
        <v>53</v>
      </c>
      <c r="C57" s="51">
        <f t="shared" si="1"/>
        <v>46226</v>
      </c>
      <c r="D57" s="46">
        <f t="shared" si="0"/>
        <v>1503.4</v>
      </c>
      <c r="E57" s="30">
        <f>MAX(Dashboard!$J$16,(Dashboard!$I$16*Fundo!W56)/360)/30</f>
        <v>500</v>
      </c>
      <c r="F57" s="30">
        <f>MAX(Dashboard!$J$15,(Dashboard!$I$15*Fundo!W56)/360)/30</f>
        <v>500</v>
      </c>
      <c r="G57" s="81">
        <f>Fundo!R56*Dashboard!$I$14</f>
        <v>503.40000000000003</v>
      </c>
      <c r="H57" s="30">
        <v>0</v>
      </c>
      <c r="I57" s="15"/>
    </row>
    <row r="58" spans="2:9" x14ac:dyDescent="0.25">
      <c r="B58" s="7">
        <v>54</v>
      </c>
      <c r="C58" s="51">
        <f t="shared" si="1"/>
        <v>46227</v>
      </c>
      <c r="D58" s="46">
        <f t="shared" si="0"/>
        <v>1503.4</v>
      </c>
      <c r="E58" s="30">
        <f>MAX(Dashboard!$J$16,(Dashboard!$I$16*Fundo!W57)/360)/30</f>
        <v>500</v>
      </c>
      <c r="F58" s="30">
        <f>MAX(Dashboard!$J$15,(Dashboard!$I$15*Fundo!W57)/360)/30</f>
        <v>500</v>
      </c>
      <c r="G58" s="81">
        <f>Fundo!R57*Dashboard!$I$14</f>
        <v>503.40000000000003</v>
      </c>
      <c r="H58" s="30">
        <v>0</v>
      </c>
      <c r="I58" s="15"/>
    </row>
    <row r="59" spans="2:9" x14ac:dyDescent="0.25">
      <c r="B59" s="7">
        <v>55</v>
      </c>
      <c r="C59" s="51">
        <f t="shared" si="1"/>
        <v>46228</v>
      </c>
      <c r="D59" s="46">
        <f t="shared" si="0"/>
        <v>1503.4</v>
      </c>
      <c r="E59" s="30">
        <f>MAX(Dashboard!$J$16,(Dashboard!$I$16*Fundo!W58)/360)/30</f>
        <v>500</v>
      </c>
      <c r="F59" s="30">
        <f>MAX(Dashboard!$J$15,(Dashboard!$I$15*Fundo!W58)/360)/30</f>
        <v>500</v>
      </c>
      <c r="G59" s="81">
        <f>Fundo!R58*Dashboard!$I$14</f>
        <v>503.40000000000003</v>
      </c>
      <c r="H59" s="30">
        <v>0</v>
      </c>
      <c r="I59" s="15"/>
    </row>
    <row r="60" spans="2:9" x14ac:dyDescent="0.25">
      <c r="B60" s="7">
        <v>56</v>
      </c>
      <c r="C60" s="51">
        <f t="shared" si="1"/>
        <v>46229</v>
      </c>
      <c r="D60" s="46">
        <f t="shared" si="0"/>
        <v>1503.4</v>
      </c>
      <c r="E60" s="30">
        <f>MAX(Dashboard!$J$16,(Dashboard!$I$16*Fundo!W59)/360)/30</f>
        <v>500</v>
      </c>
      <c r="F60" s="30">
        <f>MAX(Dashboard!$J$15,(Dashboard!$I$15*Fundo!W59)/360)/30</f>
        <v>500</v>
      </c>
      <c r="G60" s="81">
        <f>Fundo!R59*Dashboard!$I$14</f>
        <v>503.40000000000003</v>
      </c>
      <c r="H60" s="30">
        <v>0</v>
      </c>
      <c r="I60" s="15"/>
    </row>
    <row r="61" spans="2:9" x14ac:dyDescent="0.25">
      <c r="B61" s="7">
        <v>57</v>
      </c>
      <c r="C61" s="51">
        <f t="shared" si="1"/>
        <v>46230</v>
      </c>
      <c r="D61" s="46">
        <f t="shared" si="0"/>
        <v>1503.4</v>
      </c>
      <c r="E61" s="30">
        <f>MAX(Dashboard!$J$16,(Dashboard!$I$16*Fundo!W60)/360)/30</f>
        <v>500</v>
      </c>
      <c r="F61" s="30">
        <f>MAX(Dashboard!$J$15,(Dashboard!$I$15*Fundo!W60)/360)/30</f>
        <v>500</v>
      </c>
      <c r="G61" s="81">
        <f>Fundo!R60*Dashboard!$I$14</f>
        <v>503.40000000000003</v>
      </c>
      <c r="H61" s="30">
        <v>0</v>
      </c>
      <c r="I61" s="15"/>
    </row>
    <row r="62" spans="2:9" x14ac:dyDescent="0.25">
      <c r="B62" s="7">
        <v>58</v>
      </c>
      <c r="C62" s="51">
        <f t="shared" si="1"/>
        <v>46231</v>
      </c>
      <c r="D62" s="46">
        <f t="shared" si="0"/>
        <v>1503.4</v>
      </c>
      <c r="E62" s="30">
        <f>MAX(Dashboard!$J$16,(Dashboard!$I$16*Fundo!W61)/360)/30</f>
        <v>500</v>
      </c>
      <c r="F62" s="30">
        <f>MAX(Dashboard!$J$15,(Dashboard!$I$15*Fundo!W61)/360)/30</f>
        <v>500</v>
      </c>
      <c r="G62" s="81">
        <f>Fundo!R61*Dashboard!$I$14</f>
        <v>503.40000000000003</v>
      </c>
      <c r="H62" s="30">
        <v>0</v>
      </c>
      <c r="I62" s="15"/>
    </row>
    <row r="63" spans="2:9" x14ac:dyDescent="0.25">
      <c r="B63" s="7">
        <v>59</v>
      </c>
      <c r="C63" s="51">
        <f t="shared" si="1"/>
        <v>46232</v>
      </c>
      <c r="D63" s="46">
        <f t="shared" si="0"/>
        <v>1503.4</v>
      </c>
      <c r="E63" s="30">
        <f>MAX(Dashboard!$J$16,(Dashboard!$I$16*Fundo!W62)/360)/30</f>
        <v>500</v>
      </c>
      <c r="F63" s="30">
        <f>MAX(Dashboard!$J$15,(Dashboard!$I$15*Fundo!W62)/360)/30</f>
        <v>500</v>
      </c>
      <c r="G63" s="81">
        <f>Fundo!R62*Dashboard!$I$14</f>
        <v>503.40000000000003</v>
      </c>
      <c r="H63" s="30">
        <v>0</v>
      </c>
      <c r="I63" s="15"/>
    </row>
    <row r="64" spans="2:9" x14ac:dyDescent="0.25">
      <c r="B64" s="7">
        <v>60</v>
      </c>
      <c r="C64" s="51">
        <f t="shared" si="1"/>
        <v>46233</v>
      </c>
      <c r="D64" s="46">
        <f t="shared" si="0"/>
        <v>1503.4</v>
      </c>
      <c r="E64" s="30">
        <f>MAX(Dashboard!$J$16,(Dashboard!$I$16*Fundo!W63)/360)/30</f>
        <v>500</v>
      </c>
      <c r="F64" s="30">
        <f>MAX(Dashboard!$J$15,(Dashboard!$I$15*Fundo!W63)/360)/30</f>
        <v>500</v>
      </c>
      <c r="G64" s="81">
        <f>Fundo!R63*Dashboard!$I$14</f>
        <v>503.40000000000003</v>
      </c>
      <c r="H64" s="30">
        <v>0</v>
      </c>
      <c r="I64" s="15"/>
    </row>
    <row r="65" spans="2:9" x14ac:dyDescent="0.25">
      <c r="B65" s="7">
        <v>61</v>
      </c>
      <c r="C65" s="51">
        <f t="shared" si="1"/>
        <v>46234</v>
      </c>
      <c r="D65" s="46">
        <f t="shared" si="0"/>
        <v>1503.4</v>
      </c>
      <c r="E65" s="30">
        <f>MAX(Dashboard!$J$16,(Dashboard!$I$16*Fundo!W64)/360)/30</f>
        <v>500</v>
      </c>
      <c r="F65" s="30">
        <f>MAX(Dashboard!$J$15,(Dashboard!$I$15*Fundo!W64)/360)/30</f>
        <v>500</v>
      </c>
      <c r="G65" s="81">
        <f>Fundo!R64*Dashboard!$I$14</f>
        <v>503.40000000000003</v>
      </c>
      <c r="H65" s="30">
        <v>0</v>
      </c>
      <c r="I65" s="15"/>
    </row>
    <row r="66" spans="2:9" x14ac:dyDescent="0.25">
      <c r="B66" s="7">
        <v>62</v>
      </c>
      <c r="C66" s="51">
        <f t="shared" si="1"/>
        <v>46235</v>
      </c>
      <c r="D66" s="46">
        <f t="shared" si="0"/>
        <v>1503.4</v>
      </c>
      <c r="E66" s="30">
        <f>MAX(Dashboard!$J$16,(Dashboard!$I$16*Fundo!W65)/360)/30</f>
        <v>500</v>
      </c>
      <c r="F66" s="30">
        <f>MAX(Dashboard!$J$15,(Dashboard!$I$15*Fundo!W65)/360)/30</f>
        <v>500</v>
      </c>
      <c r="G66" s="81">
        <f>Fundo!R65*Dashboard!$I$14</f>
        <v>503.40000000000003</v>
      </c>
      <c r="H66" s="30">
        <v>0</v>
      </c>
      <c r="I66" s="15"/>
    </row>
    <row r="67" spans="2:9" x14ac:dyDescent="0.25">
      <c r="B67" s="7">
        <v>63</v>
      </c>
      <c r="C67" s="51">
        <f t="shared" si="1"/>
        <v>46236</v>
      </c>
      <c r="D67" s="46">
        <f t="shared" si="0"/>
        <v>1503.4</v>
      </c>
      <c r="E67" s="30">
        <f>MAX(Dashboard!$J$16,(Dashboard!$I$16*Fundo!W66)/360)/30</f>
        <v>500</v>
      </c>
      <c r="F67" s="30">
        <f>MAX(Dashboard!$J$15,(Dashboard!$I$15*Fundo!W66)/360)/30</f>
        <v>500</v>
      </c>
      <c r="G67" s="81">
        <f>Fundo!R66*Dashboard!$I$14</f>
        <v>503.40000000000003</v>
      </c>
      <c r="H67" s="30">
        <v>0</v>
      </c>
      <c r="I67" s="15"/>
    </row>
    <row r="68" spans="2:9" x14ac:dyDescent="0.25">
      <c r="B68" s="7">
        <v>64</v>
      </c>
      <c r="C68" s="51">
        <f t="shared" si="1"/>
        <v>46237</v>
      </c>
      <c r="D68" s="46">
        <f t="shared" si="0"/>
        <v>1503.4</v>
      </c>
      <c r="E68" s="30">
        <f>MAX(Dashboard!$J$16,(Dashboard!$I$16*Fundo!W67)/360)/30</f>
        <v>500</v>
      </c>
      <c r="F68" s="30">
        <f>MAX(Dashboard!$J$15,(Dashboard!$I$15*Fundo!W67)/360)/30</f>
        <v>500</v>
      </c>
      <c r="G68" s="81">
        <f>Fundo!R67*Dashboard!$I$14</f>
        <v>503.40000000000003</v>
      </c>
      <c r="H68" s="30">
        <v>0</v>
      </c>
      <c r="I68" s="15"/>
    </row>
    <row r="69" spans="2:9" x14ac:dyDescent="0.25">
      <c r="B69" s="7">
        <v>65</v>
      </c>
      <c r="C69" s="51">
        <f t="shared" si="1"/>
        <v>46238</v>
      </c>
      <c r="D69" s="46">
        <f t="shared" si="0"/>
        <v>1503.4</v>
      </c>
      <c r="E69" s="30">
        <f>MAX(Dashboard!$J$16,(Dashboard!$I$16*Fundo!W68)/360)/30</f>
        <v>500</v>
      </c>
      <c r="F69" s="30">
        <f>MAX(Dashboard!$J$15,(Dashboard!$I$15*Fundo!W68)/360)/30</f>
        <v>500</v>
      </c>
      <c r="G69" s="81">
        <f>Fundo!R68*Dashboard!$I$14</f>
        <v>503.40000000000003</v>
      </c>
      <c r="H69" s="30">
        <v>0</v>
      </c>
      <c r="I69" s="15"/>
    </row>
    <row r="70" spans="2:9" x14ac:dyDescent="0.25">
      <c r="B70" s="7">
        <v>66</v>
      </c>
      <c r="C70" s="51">
        <f t="shared" si="1"/>
        <v>46239</v>
      </c>
      <c r="D70" s="46">
        <f t="shared" ref="D70:D127" si="2">E70+F70+G70+H70+I70</f>
        <v>1503.4</v>
      </c>
      <c r="E70" s="30">
        <f>MAX(Dashboard!$J$16,(Dashboard!$I$16*Fundo!W69)/360)/30</f>
        <v>500</v>
      </c>
      <c r="F70" s="30">
        <f>MAX(Dashboard!$J$15,(Dashboard!$I$15*Fundo!W69)/360)/30</f>
        <v>500</v>
      </c>
      <c r="G70" s="81">
        <f>Fundo!R69*Dashboard!$I$14</f>
        <v>503.40000000000003</v>
      </c>
      <c r="H70" s="30">
        <v>0</v>
      </c>
      <c r="I70" s="15"/>
    </row>
    <row r="71" spans="2:9" x14ac:dyDescent="0.25">
      <c r="B71" s="7">
        <v>67</v>
      </c>
      <c r="C71" s="51">
        <f t="shared" ref="C71:C134" si="3">C70+1</f>
        <v>46240</v>
      </c>
      <c r="D71" s="46">
        <f t="shared" si="2"/>
        <v>1503.4</v>
      </c>
      <c r="E71" s="30">
        <f>MAX(Dashboard!$J$16,(Dashboard!$I$16*Fundo!W70)/360)/30</f>
        <v>500</v>
      </c>
      <c r="F71" s="30">
        <f>MAX(Dashboard!$J$15,(Dashboard!$I$15*Fundo!W70)/360)/30</f>
        <v>500</v>
      </c>
      <c r="G71" s="81">
        <f>Fundo!R70*Dashboard!$I$14</f>
        <v>503.40000000000003</v>
      </c>
      <c r="H71" s="30">
        <v>0</v>
      </c>
      <c r="I71" s="15"/>
    </row>
    <row r="72" spans="2:9" x14ac:dyDescent="0.25">
      <c r="B72" s="7">
        <v>68</v>
      </c>
      <c r="C72" s="51">
        <f t="shared" si="3"/>
        <v>46241</v>
      </c>
      <c r="D72" s="46">
        <f t="shared" si="2"/>
        <v>1503.4</v>
      </c>
      <c r="E72" s="30">
        <f>MAX(Dashboard!$J$16,(Dashboard!$I$16*Fundo!W71)/360)/30</f>
        <v>500</v>
      </c>
      <c r="F72" s="30">
        <f>MAX(Dashboard!$J$15,(Dashboard!$I$15*Fundo!W71)/360)/30</f>
        <v>500</v>
      </c>
      <c r="G72" s="81">
        <f>Fundo!R71*Dashboard!$I$14</f>
        <v>503.40000000000003</v>
      </c>
      <c r="H72" s="30">
        <v>0</v>
      </c>
      <c r="I72" s="15"/>
    </row>
    <row r="73" spans="2:9" x14ac:dyDescent="0.25">
      <c r="B73" s="7">
        <v>69</v>
      </c>
      <c r="C73" s="51">
        <f t="shared" si="3"/>
        <v>46242</v>
      </c>
      <c r="D73" s="46">
        <f t="shared" si="2"/>
        <v>1503.4</v>
      </c>
      <c r="E73" s="30">
        <f>MAX(Dashboard!$J$16,(Dashboard!$I$16*Fundo!W72)/360)/30</f>
        <v>500</v>
      </c>
      <c r="F73" s="30">
        <f>MAX(Dashboard!$J$15,(Dashboard!$I$15*Fundo!W72)/360)/30</f>
        <v>500</v>
      </c>
      <c r="G73" s="81">
        <f>Fundo!R72*Dashboard!$I$14</f>
        <v>503.40000000000003</v>
      </c>
      <c r="H73" s="30">
        <v>0</v>
      </c>
      <c r="I73" s="15"/>
    </row>
    <row r="74" spans="2:9" x14ac:dyDescent="0.25">
      <c r="B74" s="7">
        <v>70</v>
      </c>
      <c r="C74" s="51">
        <f t="shared" si="3"/>
        <v>46243</v>
      </c>
      <c r="D74" s="46">
        <f t="shared" si="2"/>
        <v>1503.4</v>
      </c>
      <c r="E74" s="30">
        <f>MAX(Dashboard!$J$16,(Dashboard!$I$16*Fundo!W73)/360)/30</f>
        <v>500</v>
      </c>
      <c r="F74" s="30">
        <f>MAX(Dashboard!$J$15,(Dashboard!$I$15*Fundo!W73)/360)/30</f>
        <v>500</v>
      </c>
      <c r="G74" s="81">
        <f>Fundo!R73*Dashboard!$I$14</f>
        <v>503.40000000000003</v>
      </c>
      <c r="H74" s="30">
        <v>0</v>
      </c>
      <c r="I74" s="15"/>
    </row>
    <row r="75" spans="2:9" x14ac:dyDescent="0.25">
      <c r="B75" s="7">
        <v>71</v>
      </c>
      <c r="C75" s="51">
        <f t="shared" si="3"/>
        <v>46244</v>
      </c>
      <c r="D75" s="46">
        <f t="shared" si="2"/>
        <v>1503.4</v>
      </c>
      <c r="E75" s="30">
        <f>MAX(Dashboard!$J$16,(Dashboard!$I$16*Fundo!W74)/360)/30</f>
        <v>500</v>
      </c>
      <c r="F75" s="30">
        <f>MAX(Dashboard!$J$15,(Dashboard!$I$15*Fundo!W74)/360)/30</f>
        <v>500</v>
      </c>
      <c r="G75" s="81">
        <f>Fundo!R74*Dashboard!$I$14</f>
        <v>503.40000000000003</v>
      </c>
      <c r="H75" s="30">
        <v>0</v>
      </c>
      <c r="I75" s="15"/>
    </row>
    <row r="76" spans="2:9" x14ac:dyDescent="0.25">
      <c r="B76" s="7">
        <v>72</v>
      </c>
      <c r="C76" s="51">
        <f t="shared" si="3"/>
        <v>46245</v>
      </c>
      <c r="D76" s="46">
        <f t="shared" si="2"/>
        <v>1503.4</v>
      </c>
      <c r="E76" s="30">
        <f>MAX(Dashboard!$J$16,(Dashboard!$I$16*Fundo!W75)/360)/30</f>
        <v>500</v>
      </c>
      <c r="F76" s="30">
        <f>MAX(Dashboard!$J$15,(Dashboard!$I$15*Fundo!W75)/360)/30</f>
        <v>500</v>
      </c>
      <c r="G76" s="81">
        <f>Fundo!R75*Dashboard!$I$14</f>
        <v>503.40000000000003</v>
      </c>
      <c r="H76" s="30">
        <v>0</v>
      </c>
      <c r="I76" s="15"/>
    </row>
    <row r="77" spans="2:9" x14ac:dyDescent="0.25">
      <c r="B77" s="7">
        <v>73</v>
      </c>
      <c r="C77" s="51">
        <f t="shared" si="3"/>
        <v>46246</v>
      </c>
      <c r="D77" s="46">
        <f t="shared" si="2"/>
        <v>1503.4</v>
      </c>
      <c r="E77" s="30">
        <f>MAX(Dashboard!$J$16,(Dashboard!$I$16*Fundo!W76)/360)/30</f>
        <v>500</v>
      </c>
      <c r="F77" s="30">
        <f>MAX(Dashboard!$J$15,(Dashboard!$I$15*Fundo!W76)/360)/30</f>
        <v>500</v>
      </c>
      <c r="G77" s="81">
        <f>Fundo!R76*Dashboard!$I$14</f>
        <v>503.40000000000003</v>
      </c>
      <c r="H77" s="30">
        <v>0</v>
      </c>
      <c r="I77" s="15"/>
    </row>
    <row r="78" spans="2:9" x14ac:dyDescent="0.25">
      <c r="B78" s="7">
        <v>74</v>
      </c>
      <c r="C78" s="51">
        <f t="shared" si="3"/>
        <v>46247</v>
      </c>
      <c r="D78" s="46">
        <f t="shared" si="2"/>
        <v>1503.4</v>
      </c>
      <c r="E78" s="30">
        <f>MAX(Dashboard!$J$16,(Dashboard!$I$16*Fundo!W77)/360)/30</f>
        <v>500</v>
      </c>
      <c r="F78" s="30">
        <f>MAX(Dashboard!$J$15,(Dashboard!$I$15*Fundo!W77)/360)/30</f>
        <v>500</v>
      </c>
      <c r="G78" s="81">
        <f>Fundo!R77*Dashboard!$I$14</f>
        <v>503.40000000000003</v>
      </c>
      <c r="H78" s="30">
        <v>0</v>
      </c>
      <c r="I78" s="15"/>
    </row>
    <row r="79" spans="2:9" x14ac:dyDescent="0.25">
      <c r="B79" s="7">
        <v>75</v>
      </c>
      <c r="C79" s="51">
        <f t="shared" si="3"/>
        <v>46248</v>
      </c>
      <c r="D79" s="46">
        <f t="shared" si="2"/>
        <v>1503.4</v>
      </c>
      <c r="E79" s="30">
        <f>MAX(Dashboard!$J$16,(Dashboard!$I$16*Fundo!W78)/360)/30</f>
        <v>500</v>
      </c>
      <c r="F79" s="30">
        <f>MAX(Dashboard!$J$15,(Dashboard!$I$15*Fundo!W78)/360)/30</f>
        <v>500</v>
      </c>
      <c r="G79" s="81">
        <f>Fundo!R78*Dashboard!$I$14</f>
        <v>503.40000000000003</v>
      </c>
      <c r="H79" s="30">
        <v>0</v>
      </c>
      <c r="I79" s="15"/>
    </row>
    <row r="80" spans="2:9" x14ac:dyDescent="0.25">
      <c r="B80" s="7">
        <v>76</v>
      </c>
      <c r="C80" s="51">
        <f t="shared" si="3"/>
        <v>46249</v>
      </c>
      <c r="D80" s="46">
        <f t="shared" si="2"/>
        <v>1503.4</v>
      </c>
      <c r="E80" s="30">
        <f>MAX(Dashboard!$J$16,(Dashboard!$I$16*Fundo!W79)/360)/30</f>
        <v>500</v>
      </c>
      <c r="F80" s="30">
        <f>MAX(Dashboard!$J$15,(Dashboard!$I$15*Fundo!W79)/360)/30</f>
        <v>500</v>
      </c>
      <c r="G80" s="81">
        <f>Fundo!R79*Dashboard!$I$14</f>
        <v>503.40000000000003</v>
      </c>
      <c r="H80" s="30">
        <v>0</v>
      </c>
      <c r="I80" s="15"/>
    </row>
    <row r="81" spans="2:9" x14ac:dyDescent="0.25">
      <c r="B81" s="7">
        <v>77</v>
      </c>
      <c r="C81" s="51">
        <f t="shared" si="3"/>
        <v>46250</v>
      </c>
      <c r="D81" s="46">
        <f t="shared" si="2"/>
        <v>1503.4</v>
      </c>
      <c r="E81" s="30">
        <f>MAX(Dashboard!$J$16,(Dashboard!$I$16*Fundo!W80)/360)/30</f>
        <v>500</v>
      </c>
      <c r="F81" s="30">
        <f>MAX(Dashboard!$J$15,(Dashboard!$I$15*Fundo!W80)/360)/30</f>
        <v>500</v>
      </c>
      <c r="G81" s="81">
        <f>Fundo!R80*Dashboard!$I$14</f>
        <v>503.40000000000003</v>
      </c>
      <c r="H81" s="30">
        <v>0</v>
      </c>
      <c r="I81" s="15"/>
    </row>
    <row r="82" spans="2:9" x14ac:dyDescent="0.25">
      <c r="B82" s="7">
        <v>78</v>
      </c>
      <c r="C82" s="51">
        <f t="shared" si="3"/>
        <v>46251</v>
      </c>
      <c r="D82" s="46">
        <f t="shared" si="2"/>
        <v>1503.4</v>
      </c>
      <c r="E82" s="30">
        <f>MAX(Dashboard!$J$16,(Dashboard!$I$16*Fundo!W81)/360)/30</f>
        <v>500</v>
      </c>
      <c r="F82" s="30">
        <f>MAX(Dashboard!$J$15,(Dashboard!$I$15*Fundo!W81)/360)/30</f>
        <v>500</v>
      </c>
      <c r="G82" s="81">
        <f>Fundo!R81*Dashboard!$I$14</f>
        <v>503.40000000000003</v>
      </c>
      <c r="H82" s="30">
        <v>0</v>
      </c>
      <c r="I82" s="15"/>
    </row>
    <row r="83" spans="2:9" x14ac:dyDescent="0.25">
      <c r="B83" s="7">
        <v>79</v>
      </c>
      <c r="C83" s="51">
        <f t="shared" si="3"/>
        <v>46252</v>
      </c>
      <c r="D83" s="46">
        <f t="shared" si="2"/>
        <v>1503.4</v>
      </c>
      <c r="E83" s="30">
        <f>MAX(Dashboard!$J$16,(Dashboard!$I$16*Fundo!W82)/360)/30</f>
        <v>500</v>
      </c>
      <c r="F83" s="30">
        <f>MAX(Dashboard!$J$15,(Dashboard!$I$15*Fundo!W82)/360)/30</f>
        <v>500</v>
      </c>
      <c r="G83" s="81">
        <f>Fundo!R82*Dashboard!$I$14</f>
        <v>503.40000000000003</v>
      </c>
      <c r="H83" s="30">
        <v>0</v>
      </c>
      <c r="I83" s="15"/>
    </row>
    <row r="84" spans="2:9" x14ac:dyDescent="0.25">
      <c r="B84" s="7">
        <v>80</v>
      </c>
      <c r="C84" s="51">
        <f t="shared" si="3"/>
        <v>46253</v>
      </c>
      <c r="D84" s="46">
        <f t="shared" si="2"/>
        <v>1503.4</v>
      </c>
      <c r="E84" s="30">
        <f>MAX(Dashboard!$J$16,(Dashboard!$I$16*Fundo!W83)/360)/30</f>
        <v>500</v>
      </c>
      <c r="F84" s="30">
        <f>MAX(Dashboard!$J$15,(Dashboard!$I$15*Fundo!W83)/360)/30</f>
        <v>500</v>
      </c>
      <c r="G84" s="81">
        <f>Fundo!R83*Dashboard!$I$14</f>
        <v>503.40000000000003</v>
      </c>
      <c r="H84" s="30">
        <v>0</v>
      </c>
      <c r="I84" s="15"/>
    </row>
    <row r="85" spans="2:9" x14ac:dyDescent="0.25">
      <c r="B85" s="7">
        <v>81</v>
      </c>
      <c r="C85" s="51">
        <f t="shared" si="3"/>
        <v>46254</v>
      </c>
      <c r="D85" s="46">
        <f t="shared" si="2"/>
        <v>1503.4</v>
      </c>
      <c r="E85" s="30">
        <f>MAX(Dashboard!$J$16,(Dashboard!$I$16*Fundo!W84)/360)/30</f>
        <v>500</v>
      </c>
      <c r="F85" s="30">
        <f>MAX(Dashboard!$J$15,(Dashboard!$I$15*Fundo!W84)/360)/30</f>
        <v>500</v>
      </c>
      <c r="G85" s="81">
        <f>Fundo!R84*Dashboard!$I$14</f>
        <v>503.40000000000003</v>
      </c>
      <c r="H85" s="30">
        <v>0</v>
      </c>
      <c r="I85" s="15"/>
    </row>
    <row r="86" spans="2:9" x14ac:dyDescent="0.25">
      <c r="B86" s="7">
        <v>82</v>
      </c>
      <c r="C86" s="51">
        <f t="shared" si="3"/>
        <v>46255</v>
      </c>
      <c r="D86" s="46">
        <f t="shared" si="2"/>
        <v>1503.4</v>
      </c>
      <c r="E86" s="30">
        <f>MAX(Dashboard!$J$16,(Dashboard!$I$16*Fundo!W85)/360)/30</f>
        <v>500</v>
      </c>
      <c r="F86" s="30">
        <f>MAX(Dashboard!$J$15,(Dashboard!$I$15*Fundo!W85)/360)/30</f>
        <v>500</v>
      </c>
      <c r="G86" s="81">
        <f>Fundo!R85*Dashboard!$I$14</f>
        <v>503.40000000000003</v>
      </c>
      <c r="H86" s="30">
        <v>0</v>
      </c>
      <c r="I86" s="15"/>
    </row>
    <row r="87" spans="2:9" x14ac:dyDescent="0.25">
      <c r="B87" s="7">
        <v>83</v>
      </c>
      <c r="C87" s="51">
        <f t="shared" si="3"/>
        <v>46256</v>
      </c>
      <c r="D87" s="46">
        <f t="shared" si="2"/>
        <v>1503.4</v>
      </c>
      <c r="E87" s="30">
        <f>MAX(Dashboard!$J$16,(Dashboard!$I$16*Fundo!W86)/360)/30</f>
        <v>500</v>
      </c>
      <c r="F87" s="30">
        <f>MAX(Dashboard!$J$15,(Dashboard!$I$15*Fundo!W86)/360)/30</f>
        <v>500</v>
      </c>
      <c r="G87" s="81">
        <f>Fundo!R86*Dashboard!$I$14</f>
        <v>503.40000000000003</v>
      </c>
      <c r="H87" s="30">
        <v>0</v>
      </c>
      <c r="I87" s="15"/>
    </row>
    <row r="88" spans="2:9" x14ac:dyDescent="0.25">
      <c r="B88" s="7">
        <v>84</v>
      </c>
      <c r="C88" s="51">
        <f t="shared" si="3"/>
        <v>46257</v>
      </c>
      <c r="D88" s="46">
        <f t="shared" si="2"/>
        <v>1503.4</v>
      </c>
      <c r="E88" s="30">
        <f>MAX(Dashboard!$J$16,(Dashboard!$I$16*Fundo!W87)/360)/30</f>
        <v>500</v>
      </c>
      <c r="F88" s="30">
        <f>MAX(Dashboard!$J$15,(Dashboard!$I$15*Fundo!W87)/360)/30</f>
        <v>500</v>
      </c>
      <c r="G88" s="81">
        <f>Fundo!R87*Dashboard!$I$14</f>
        <v>503.40000000000003</v>
      </c>
      <c r="H88" s="30">
        <v>0</v>
      </c>
      <c r="I88" s="15"/>
    </row>
    <row r="89" spans="2:9" x14ac:dyDescent="0.25">
      <c r="B89" s="7">
        <v>85</v>
      </c>
      <c r="C89" s="51">
        <f t="shared" si="3"/>
        <v>46258</v>
      </c>
      <c r="D89" s="46">
        <f t="shared" si="2"/>
        <v>1503.4</v>
      </c>
      <c r="E89" s="30">
        <f>MAX(Dashboard!$J$16,(Dashboard!$I$16*Fundo!W88)/360)/30</f>
        <v>500</v>
      </c>
      <c r="F89" s="30">
        <f>MAX(Dashboard!$J$15,(Dashboard!$I$15*Fundo!W88)/360)/30</f>
        <v>500</v>
      </c>
      <c r="G89" s="81">
        <f>Fundo!R88*Dashboard!$I$14</f>
        <v>503.40000000000003</v>
      </c>
      <c r="H89" s="30">
        <v>0</v>
      </c>
      <c r="I89" s="15"/>
    </row>
    <row r="90" spans="2:9" x14ac:dyDescent="0.25">
      <c r="B90" s="7">
        <v>86</v>
      </c>
      <c r="C90" s="51">
        <f t="shared" si="3"/>
        <v>46259</v>
      </c>
      <c r="D90" s="46">
        <f t="shared" si="2"/>
        <v>1503.4</v>
      </c>
      <c r="E90" s="30">
        <f>MAX(Dashboard!$J$16,(Dashboard!$I$16*Fundo!W89)/360)/30</f>
        <v>500</v>
      </c>
      <c r="F90" s="30">
        <f>MAX(Dashboard!$J$15,(Dashboard!$I$15*Fundo!W89)/360)/30</f>
        <v>500</v>
      </c>
      <c r="G90" s="81">
        <f>Fundo!R89*Dashboard!$I$14</f>
        <v>503.40000000000003</v>
      </c>
      <c r="H90" s="30">
        <v>0</v>
      </c>
      <c r="I90" s="15"/>
    </row>
    <row r="91" spans="2:9" x14ac:dyDescent="0.25">
      <c r="B91" s="7">
        <v>87</v>
      </c>
      <c r="C91" s="51">
        <f t="shared" si="3"/>
        <v>46260</v>
      </c>
      <c r="D91" s="46">
        <f t="shared" si="2"/>
        <v>1503.4</v>
      </c>
      <c r="E91" s="30">
        <f>MAX(Dashboard!$J$16,(Dashboard!$I$16*Fundo!W90)/360)/30</f>
        <v>500</v>
      </c>
      <c r="F91" s="30">
        <f>MAX(Dashboard!$J$15,(Dashboard!$I$15*Fundo!W90)/360)/30</f>
        <v>500</v>
      </c>
      <c r="G91" s="81">
        <f>Fundo!R90*Dashboard!$I$14</f>
        <v>503.40000000000003</v>
      </c>
      <c r="H91" s="30">
        <v>0</v>
      </c>
      <c r="I91" s="15"/>
    </row>
    <row r="92" spans="2:9" x14ac:dyDescent="0.25">
      <c r="B92" s="7">
        <v>88</v>
      </c>
      <c r="C92" s="51">
        <f t="shared" si="3"/>
        <v>46261</v>
      </c>
      <c r="D92" s="46">
        <f t="shared" si="2"/>
        <v>1503.4</v>
      </c>
      <c r="E92" s="30">
        <f>MAX(Dashboard!$J$16,(Dashboard!$I$16*Fundo!W91)/360)/30</f>
        <v>500</v>
      </c>
      <c r="F92" s="30">
        <f>MAX(Dashboard!$J$15,(Dashboard!$I$15*Fundo!W91)/360)/30</f>
        <v>500</v>
      </c>
      <c r="G92" s="81">
        <f>Fundo!R91*Dashboard!$I$14</f>
        <v>503.40000000000003</v>
      </c>
      <c r="H92" s="30">
        <v>0</v>
      </c>
      <c r="I92" s="15"/>
    </row>
    <row r="93" spans="2:9" x14ac:dyDescent="0.25">
      <c r="B93" s="7">
        <v>89</v>
      </c>
      <c r="C93" s="51">
        <f t="shared" si="3"/>
        <v>46262</v>
      </c>
      <c r="D93" s="46">
        <f t="shared" si="2"/>
        <v>1503.4</v>
      </c>
      <c r="E93" s="30">
        <f>MAX(Dashboard!$J$16,(Dashboard!$I$16*Fundo!W92)/360)/30</f>
        <v>500</v>
      </c>
      <c r="F93" s="30">
        <f>MAX(Dashboard!$J$15,(Dashboard!$I$15*Fundo!W92)/360)/30</f>
        <v>500</v>
      </c>
      <c r="G93" s="81">
        <f>Fundo!R92*Dashboard!$I$14</f>
        <v>503.40000000000003</v>
      </c>
      <c r="H93" s="30">
        <v>0</v>
      </c>
      <c r="I93" s="15"/>
    </row>
    <row r="94" spans="2:9" x14ac:dyDescent="0.25">
      <c r="B94" s="7">
        <v>90</v>
      </c>
      <c r="C94" s="51">
        <f t="shared" si="3"/>
        <v>46263</v>
      </c>
      <c r="D94" s="46">
        <f t="shared" si="2"/>
        <v>1503.4</v>
      </c>
      <c r="E94" s="30">
        <f>MAX(Dashboard!$J$16,(Dashboard!$I$16*Fundo!W93)/360)/30</f>
        <v>500</v>
      </c>
      <c r="F94" s="30">
        <f>MAX(Dashboard!$J$15,(Dashboard!$I$15*Fundo!W93)/360)/30</f>
        <v>500</v>
      </c>
      <c r="G94" s="81">
        <f>Fundo!R93*Dashboard!$I$14</f>
        <v>503.40000000000003</v>
      </c>
      <c r="H94" s="30">
        <v>0</v>
      </c>
      <c r="I94" s="15"/>
    </row>
    <row r="95" spans="2:9" x14ac:dyDescent="0.25">
      <c r="B95" s="7">
        <v>91</v>
      </c>
      <c r="C95" s="51">
        <f t="shared" si="3"/>
        <v>46264</v>
      </c>
      <c r="D95" s="46">
        <f t="shared" si="2"/>
        <v>1503.4</v>
      </c>
      <c r="E95" s="30">
        <f>MAX(Dashboard!$J$16,(Dashboard!$I$16*Fundo!W94)/360)/30</f>
        <v>500</v>
      </c>
      <c r="F95" s="30">
        <f>MAX(Dashboard!$J$15,(Dashboard!$I$15*Fundo!W94)/360)/30</f>
        <v>500</v>
      </c>
      <c r="G95" s="81">
        <f>Fundo!R94*Dashboard!$I$14</f>
        <v>503.40000000000003</v>
      </c>
      <c r="H95" s="30">
        <v>0</v>
      </c>
      <c r="I95" s="15"/>
    </row>
    <row r="96" spans="2:9" x14ac:dyDescent="0.25">
      <c r="B96" s="7">
        <v>92</v>
      </c>
      <c r="C96" s="51">
        <f t="shared" si="3"/>
        <v>46265</v>
      </c>
      <c r="D96" s="46">
        <f t="shared" si="2"/>
        <v>1503.4</v>
      </c>
      <c r="E96" s="30">
        <f>MAX(Dashboard!$J$16,(Dashboard!$I$16*Fundo!W95)/360)/30</f>
        <v>500</v>
      </c>
      <c r="F96" s="30">
        <f>MAX(Dashboard!$J$15,(Dashboard!$I$15*Fundo!W95)/360)/30</f>
        <v>500</v>
      </c>
      <c r="G96" s="81">
        <f>Fundo!R95*Dashboard!$I$14</f>
        <v>503.40000000000003</v>
      </c>
      <c r="H96" s="30">
        <v>0</v>
      </c>
      <c r="I96" s="15"/>
    </row>
    <row r="97" spans="2:9" x14ac:dyDescent="0.25">
      <c r="B97" s="7">
        <v>93</v>
      </c>
      <c r="C97" s="51">
        <f t="shared" si="3"/>
        <v>46266</v>
      </c>
      <c r="D97" s="46">
        <f t="shared" si="2"/>
        <v>1503.4</v>
      </c>
      <c r="E97" s="30">
        <f>MAX(Dashboard!$J$16,(Dashboard!$I$16*Fundo!W96)/360)/30</f>
        <v>500</v>
      </c>
      <c r="F97" s="30">
        <f>MAX(Dashboard!$J$15,(Dashboard!$I$15*Fundo!W96)/360)/30</f>
        <v>500</v>
      </c>
      <c r="G97" s="81">
        <f>Fundo!R96*Dashboard!$I$14</f>
        <v>503.40000000000003</v>
      </c>
      <c r="H97" s="30">
        <v>0</v>
      </c>
      <c r="I97" s="15"/>
    </row>
    <row r="98" spans="2:9" x14ac:dyDescent="0.25">
      <c r="B98" s="7">
        <v>94</v>
      </c>
      <c r="C98" s="51">
        <f t="shared" si="3"/>
        <v>46267</v>
      </c>
      <c r="D98" s="46">
        <f t="shared" si="2"/>
        <v>1503.4</v>
      </c>
      <c r="E98" s="30">
        <f>MAX(Dashboard!$J$16,(Dashboard!$I$16*Fundo!W97)/360)/30</f>
        <v>500</v>
      </c>
      <c r="F98" s="30">
        <f>MAX(Dashboard!$J$15,(Dashboard!$I$15*Fundo!W97)/360)/30</f>
        <v>500</v>
      </c>
      <c r="G98" s="81">
        <f>Fundo!R97*Dashboard!$I$14</f>
        <v>503.40000000000003</v>
      </c>
      <c r="H98" s="30">
        <v>0</v>
      </c>
      <c r="I98" s="15"/>
    </row>
    <row r="99" spans="2:9" x14ac:dyDescent="0.25">
      <c r="B99" s="7">
        <v>95</v>
      </c>
      <c r="C99" s="51">
        <f t="shared" si="3"/>
        <v>46268</v>
      </c>
      <c r="D99" s="46">
        <f t="shared" si="2"/>
        <v>1503.4</v>
      </c>
      <c r="E99" s="30">
        <f>MAX(Dashboard!$J$16,(Dashboard!$I$16*Fundo!W98)/360)/30</f>
        <v>500</v>
      </c>
      <c r="F99" s="30">
        <f>MAX(Dashboard!$J$15,(Dashboard!$I$15*Fundo!W98)/360)/30</f>
        <v>500</v>
      </c>
      <c r="G99" s="81">
        <f>Fundo!R98*Dashboard!$I$14</f>
        <v>503.40000000000003</v>
      </c>
      <c r="H99" s="30">
        <v>0</v>
      </c>
      <c r="I99" s="15"/>
    </row>
    <row r="100" spans="2:9" x14ac:dyDescent="0.25">
      <c r="B100" s="7">
        <v>96</v>
      </c>
      <c r="C100" s="51">
        <f t="shared" si="3"/>
        <v>46269</v>
      </c>
      <c r="D100" s="46">
        <f t="shared" si="2"/>
        <v>1503.4</v>
      </c>
      <c r="E100" s="30">
        <f>MAX(Dashboard!$J$16,(Dashboard!$I$16*Fundo!W99)/360)/30</f>
        <v>500</v>
      </c>
      <c r="F100" s="30">
        <f>MAX(Dashboard!$J$15,(Dashboard!$I$15*Fundo!W99)/360)/30</f>
        <v>500</v>
      </c>
      <c r="G100" s="81">
        <f>Fundo!R99*Dashboard!$I$14</f>
        <v>503.40000000000003</v>
      </c>
      <c r="H100" s="30">
        <v>0</v>
      </c>
      <c r="I100" s="15"/>
    </row>
    <row r="101" spans="2:9" x14ac:dyDescent="0.25">
      <c r="B101" s="7">
        <v>97</v>
      </c>
      <c r="C101" s="51">
        <f t="shared" si="3"/>
        <v>46270</v>
      </c>
      <c r="D101" s="46">
        <f t="shared" si="2"/>
        <v>1503.4</v>
      </c>
      <c r="E101" s="30">
        <f>MAX(Dashboard!$J$16,(Dashboard!$I$16*Fundo!W100)/360)/30</f>
        <v>500</v>
      </c>
      <c r="F101" s="30">
        <f>MAX(Dashboard!$J$15,(Dashboard!$I$15*Fundo!W100)/360)/30</f>
        <v>500</v>
      </c>
      <c r="G101" s="81">
        <f>Fundo!R100*Dashboard!$I$14</f>
        <v>503.40000000000003</v>
      </c>
      <c r="H101" s="30">
        <v>0</v>
      </c>
      <c r="I101" s="15"/>
    </row>
    <row r="102" spans="2:9" x14ac:dyDescent="0.25">
      <c r="B102" s="7">
        <v>98</v>
      </c>
      <c r="C102" s="51">
        <f t="shared" si="3"/>
        <v>46271</v>
      </c>
      <c r="D102" s="46">
        <f t="shared" si="2"/>
        <v>1503.4</v>
      </c>
      <c r="E102" s="30">
        <f>MAX(Dashboard!$J$16,(Dashboard!$I$16*Fundo!W101)/360)/30</f>
        <v>500</v>
      </c>
      <c r="F102" s="30">
        <f>MAX(Dashboard!$J$15,(Dashboard!$I$15*Fundo!W101)/360)/30</f>
        <v>500</v>
      </c>
      <c r="G102" s="81">
        <f>Fundo!R101*Dashboard!$I$14</f>
        <v>503.40000000000003</v>
      </c>
      <c r="H102" s="30">
        <v>0</v>
      </c>
      <c r="I102" s="15"/>
    </row>
    <row r="103" spans="2:9" x14ac:dyDescent="0.25">
      <c r="B103" s="7">
        <v>99</v>
      </c>
      <c r="C103" s="51">
        <f t="shared" si="3"/>
        <v>46272</v>
      </c>
      <c r="D103" s="46">
        <f t="shared" si="2"/>
        <v>1503.4</v>
      </c>
      <c r="E103" s="30">
        <f>MAX(Dashboard!$J$16,(Dashboard!$I$16*Fundo!W102)/360)/30</f>
        <v>500</v>
      </c>
      <c r="F103" s="30">
        <f>MAX(Dashboard!$J$15,(Dashboard!$I$15*Fundo!W102)/360)/30</f>
        <v>500</v>
      </c>
      <c r="G103" s="81">
        <f>Fundo!R102*Dashboard!$I$14</f>
        <v>503.40000000000003</v>
      </c>
      <c r="H103" s="30">
        <v>0</v>
      </c>
      <c r="I103" s="15"/>
    </row>
    <row r="104" spans="2:9" x14ac:dyDescent="0.25">
      <c r="B104" s="7">
        <v>100</v>
      </c>
      <c r="C104" s="51">
        <f t="shared" si="3"/>
        <v>46273</v>
      </c>
      <c r="D104" s="46">
        <f t="shared" si="2"/>
        <v>1503.4</v>
      </c>
      <c r="E104" s="30">
        <f>MAX(Dashboard!$J$16,(Dashboard!$I$16*Fundo!W103)/360)/30</f>
        <v>500</v>
      </c>
      <c r="F104" s="30">
        <f>MAX(Dashboard!$J$15,(Dashboard!$I$15*Fundo!W103)/360)/30</f>
        <v>500</v>
      </c>
      <c r="G104" s="81">
        <f>Fundo!R103*Dashboard!$I$14</f>
        <v>503.40000000000003</v>
      </c>
      <c r="H104" s="30">
        <v>0</v>
      </c>
      <c r="I104" s="15"/>
    </row>
    <row r="105" spans="2:9" x14ac:dyDescent="0.25">
      <c r="B105" s="7">
        <v>101</v>
      </c>
      <c r="C105" s="51">
        <f t="shared" si="3"/>
        <v>46274</v>
      </c>
      <c r="D105" s="46">
        <f t="shared" si="2"/>
        <v>1503.4</v>
      </c>
      <c r="E105" s="30">
        <f>MAX(Dashboard!$J$16,(Dashboard!$I$16*Fundo!W104)/360)/30</f>
        <v>500</v>
      </c>
      <c r="F105" s="30">
        <f>MAX(Dashboard!$J$15,(Dashboard!$I$15*Fundo!W104)/360)/30</f>
        <v>500</v>
      </c>
      <c r="G105" s="81">
        <f>Fundo!R104*Dashboard!$I$14</f>
        <v>503.40000000000003</v>
      </c>
      <c r="H105" s="30">
        <v>0</v>
      </c>
      <c r="I105" s="15"/>
    </row>
    <row r="106" spans="2:9" x14ac:dyDescent="0.25">
      <c r="B106" s="7">
        <v>102</v>
      </c>
      <c r="C106" s="51">
        <f t="shared" si="3"/>
        <v>46275</v>
      </c>
      <c r="D106" s="46">
        <f t="shared" si="2"/>
        <v>1503.4</v>
      </c>
      <c r="E106" s="30">
        <f>MAX(Dashboard!$J$16,(Dashboard!$I$16*Fundo!W105)/360)/30</f>
        <v>500</v>
      </c>
      <c r="F106" s="30">
        <f>MAX(Dashboard!$J$15,(Dashboard!$I$15*Fundo!W105)/360)/30</f>
        <v>500</v>
      </c>
      <c r="G106" s="81">
        <f>Fundo!R105*Dashboard!$I$14</f>
        <v>503.40000000000003</v>
      </c>
      <c r="H106" s="30">
        <v>0</v>
      </c>
      <c r="I106" s="15"/>
    </row>
    <row r="107" spans="2:9" x14ac:dyDescent="0.25">
      <c r="B107" s="7">
        <v>103</v>
      </c>
      <c r="C107" s="51">
        <f t="shared" si="3"/>
        <v>46276</v>
      </c>
      <c r="D107" s="46">
        <f t="shared" si="2"/>
        <v>1503.4</v>
      </c>
      <c r="E107" s="30">
        <f>MAX(Dashboard!$J$16,(Dashboard!$I$16*Fundo!W106)/360)/30</f>
        <v>500</v>
      </c>
      <c r="F107" s="30">
        <f>MAX(Dashboard!$J$15,(Dashboard!$I$15*Fundo!W106)/360)/30</f>
        <v>500</v>
      </c>
      <c r="G107" s="81">
        <f>Fundo!R106*Dashboard!$I$14</f>
        <v>503.40000000000003</v>
      </c>
      <c r="H107" s="30">
        <v>0</v>
      </c>
      <c r="I107" s="15"/>
    </row>
    <row r="108" spans="2:9" x14ac:dyDescent="0.25">
      <c r="B108" s="7">
        <v>104</v>
      </c>
      <c r="C108" s="51">
        <f t="shared" si="3"/>
        <v>46277</v>
      </c>
      <c r="D108" s="46">
        <f t="shared" si="2"/>
        <v>1503.4</v>
      </c>
      <c r="E108" s="30">
        <f>MAX(Dashboard!$J$16,(Dashboard!$I$16*Fundo!W107)/360)/30</f>
        <v>500</v>
      </c>
      <c r="F108" s="30">
        <f>MAX(Dashboard!$J$15,(Dashboard!$I$15*Fundo!W107)/360)/30</f>
        <v>500</v>
      </c>
      <c r="G108" s="81">
        <f>Fundo!R107*Dashboard!$I$14</f>
        <v>503.40000000000003</v>
      </c>
      <c r="H108" s="30">
        <v>0</v>
      </c>
      <c r="I108" s="15"/>
    </row>
    <row r="109" spans="2:9" x14ac:dyDescent="0.25">
      <c r="B109" s="7">
        <v>105</v>
      </c>
      <c r="C109" s="51">
        <f t="shared" si="3"/>
        <v>46278</v>
      </c>
      <c r="D109" s="46">
        <f t="shared" si="2"/>
        <v>1503.4</v>
      </c>
      <c r="E109" s="30">
        <f>MAX(Dashboard!$J$16,(Dashboard!$I$16*Fundo!W108)/360)/30</f>
        <v>500</v>
      </c>
      <c r="F109" s="30">
        <f>MAX(Dashboard!$J$15,(Dashboard!$I$15*Fundo!W108)/360)/30</f>
        <v>500</v>
      </c>
      <c r="G109" s="81">
        <f>Fundo!R108*Dashboard!$I$14</f>
        <v>503.40000000000003</v>
      </c>
      <c r="H109" s="30">
        <v>0</v>
      </c>
      <c r="I109" s="15"/>
    </row>
    <row r="110" spans="2:9" x14ac:dyDescent="0.25">
      <c r="B110" s="7">
        <v>106</v>
      </c>
      <c r="C110" s="51">
        <f t="shared" si="3"/>
        <v>46279</v>
      </c>
      <c r="D110" s="46">
        <f t="shared" si="2"/>
        <v>1503.4</v>
      </c>
      <c r="E110" s="30">
        <f>MAX(Dashboard!$J$16,(Dashboard!$I$16*Fundo!W109)/360)/30</f>
        <v>500</v>
      </c>
      <c r="F110" s="30">
        <f>MAX(Dashboard!$J$15,(Dashboard!$I$15*Fundo!W109)/360)/30</f>
        <v>500</v>
      </c>
      <c r="G110" s="81">
        <f>Fundo!R109*Dashboard!$I$14</f>
        <v>503.40000000000003</v>
      </c>
      <c r="H110" s="30">
        <v>0</v>
      </c>
      <c r="I110" s="15"/>
    </row>
    <row r="111" spans="2:9" x14ac:dyDescent="0.25">
      <c r="B111" s="7">
        <v>107</v>
      </c>
      <c r="C111" s="51">
        <f t="shared" si="3"/>
        <v>46280</v>
      </c>
      <c r="D111" s="46">
        <f t="shared" si="2"/>
        <v>1503.4</v>
      </c>
      <c r="E111" s="30">
        <f>MAX(Dashboard!$J$16,(Dashboard!$I$16*Fundo!W110)/360)/30</f>
        <v>500</v>
      </c>
      <c r="F111" s="30">
        <f>MAX(Dashboard!$J$15,(Dashboard!$I$15*Fundo!W110)/360)/30</f>
        <v>500</v>
      </c>
      <c r="G111" s="81">
        <f>Fundo!R110*Dashboard!$I$14</f>
        <v>503.40000000000003</v>
      </c>
      <c r="H111" s="30">
        <v>0</v>
      </c>
      <c r="I111" s="15"/>
    </row>
    <row r="112" spans="2:9" x14ac:dyDescent="0.25">
      <c r="B112" s="7">
        <v>108</v>
      </c>
      <c r="C112" s="51">
        <f t="shared" si="3"/>
        <v>46281</v>
      </c>
      <c r="D112" s="46">
        <f t="shared" si="2"/>
        <v>1503.4</v>
      </c>
      <c r="E112" s="30">
        <f>MAX(Dashboard!$J$16,(Dashboard!$I$16*Fundo!W111)/360)/30</f>
        <v>500</v>
      </c>
      <c r="F112" s="30">
        <f>MAX(Dashboard!$J$15,(Dashboard!$I$15*Fundo!W111)/360)/30</f>
        <v>500</v>
      </c>
      <c r="G112" s="81">
        <f>Fundo!R111*Dashboard!$I$14</f>
        <v>503.40000000000003</v>
      </c>
      <c r="H112" s="30">
        <v>0</v>
      </c>
      <c r="I112" s="15"/>
    </row>
    <row r="113" spans="2:9" x14ac:dyDescent="0.25">
      <c r="B113" s="7">
        <v>109</v>
      </c>
      <c r="C113" s="51">
        <f t="shared" si="3"/>
        <v>46282</v>
      </c>
      <c r="D113" s="46">
        <f t="shared" si="2"/>
        <v>1503.4</v>
      </c>
      <c r="E113" s="30">
        <f>MAX(Dashboard!$J$16,(Dashboard!$I$16*Fundo!W112)/360)/30</f>
        <v>500</v>
      </c>
      <c r="F113" s="30">
        <f>MAX(Dashboard!$J$15,(Dashboard!$I$15*Fundo!W112)/360)/30</f>
        <v>500</v>
      </c>
      <c r="G113" s="81">
        <f>Fundo!R112*Dashboard!$I$14</f>
        <v>503.40000000000003</v>
      </c>
      <c r="H113" s="30">
        <v>0</v>
      </c>
      <c r="I113" s="15"/>
    </row>
    <row r="114" spans="2:9" x14ac:dyDescent="0.25">
      <c r="B114" s="7">
        <v>110</v>
      </c>
      <c r="C114" s="51">
        <f t="shared" si="3"/>
        <v>46283</v>
      </c>
      <c r="D114" s="46">
        <f t="shared" si="2"/>
        <v>1503.4</v>
      </c>
      <c r="E114" s="30">
        <f>MAX(Dashboard!$J$16,(Dashboard!$I$16*Fundo!W113)/360)/30</f>
        <v>500</v>
      </c>
      <c r="F114" s="30">
        <f>MAX(Dashboard!$J$15,(Dashboard!$I$15*Fundo!W113)/360)/30</f>
        <v>500</v>
      </c>
      <c r="G114" s="81">
        <f>Fundo!R113*Dashboard!$I$14</f>
        <v>503.40000000000003</v>
      </c>
      <c r="H114" s="30">
        <v>0</v>
      </c>
      <c r="I114" s="15"/>
    </row>
    <row r="115" spans="2:9" x14ac:dyDescent="0.25">
      <c r="B115" s="7">
        <v>111</v>
      </c>
      <c r="C115" s="51">
        <f t="shared" si="3"/>
        <v>46284</v>
      </c>
      <c r="D115" s="46">
        <f t="shared" si="2"/>
        <v>1503.4</v>
      </c>
      <c r="E115" s="30">
        <f>MAX(Dashboard!$J$16,(Dashboard!$I$16*Fundo!W114)/360)/30</f>
        <v>500</v>
      </c>
      <c r="F115" s="30">
        <f>MAX(Dashboard!$J$15,(Dashboard!$I$15*Fundo!W114)/360)/30</f>
        <v>500</v>
      </c>
      <c r="G115" s="81">
        <f>Fundo!R114*Dashboard!$I$14</f>
        <v>503.40000000000003</v>
      </c>
      <c r="H115" s="30">
        <v>0</v>
      </c>
      <c r="I115" s="15"/>
    </row>
    <row r="116" spans="2:9" x14ac:dyDescent="0.25">
      <c r="B116" s="7">
        <v>112</v>
      </c>
      <c r="C116" s="51">
        <f t="shared" si="3"/>
        <v>46285</v>
      </c>
      <c r="D116" s="46">
        <f t="shared" si="2"/>
        <v>1503.4</v>
      </c>
      <c r="E116" s="30">
        <f>MAX(Dashboard!$J$16,(Dashboard!$I$16*Fundo!W115)/360)/30</f>
        <v>500</v>
      </c>
      <c r="F116" s="30">
        <f>MAX(Dashboard!$J$15,(Dashboard!$I$15*Fundo!W115)/360)/30</f>
        <v>500</v>
      </c>
      <c r="G116" s="81">
        <f>Fundo!R115*Dashboard!$I$14</f>
        <v>503.40000000000003</v>
      </c>
      <c r="H116" s="30">
        <v>0</v>
      </c>
      <c r="I116" s="15"/>
    </row>
    <row r="117" spans="2:9" x14ac:dyDescent="0.25">
      <c r="B117" s="7">
        <v>113</v>
      </c>
      <c r="C117" s="51">
        <f t="shared" si="3"/>
        <v>46286</v>
      </c>
      <c r="D117" s="46">
        <f t="shared" si="2"/>
        <v>1503.4</v>
      </c>
      <c r="E117" s="30">
        <f>MAX(Dashboard!$J$16,(Dashboard!$I$16*Fundo!W116)/360)/30</f>
        <v>500</v>
      </c>
      <c r="F117" s="30">
        <f>MAX(Dashboard!$J$15,(Dashboard!$I$15*Fundo!W116)/360)/30</f>
        <v>500</v>
      </c>
      <c r="G117" s="81">
        <f>Fundo!R116*Dashboard!$I$14</f>
        <v>503.40000000000003</v>
      </c>
      <c r="H117" s="30">
        <v>0</v>
      </c>
      <c r="I117" s="15"/>
    </row>
    <row r="118" spans="2:9" x14ac:dyDescent="0.25">
      <c r="B118" s="7">
        <v>114</v>
      </c>
      <c r="C118" s="51">
        <f t="shared" si="3"/>
        <v>46287</v>
      </c>
      <c r="D118" s="46">
        <f t="shared" si="2"/>
        <v>1503.4</v>
      </c>
      <c r="E118" s="30">
        <f>MAX(Dashboard!$J$16,(Dashboard!$I$16*Fundo!W117)/360)/30</f>
        <v>500</v>
      </c>
      <c r="F118" s="30">
        <f>MAX(Dashboard!$J$15,(Dashboard!$I$15*Fundo!W117)/360)/30</f>
        <v>500</v>
      </c>
      <c r="G118" s="81">
        <f>Fundo!R117*Dashboard!$I$14</f>
        <v>503.40000000000003</v>
      </c>
      <c r="H118" s="30">
        <v>0</v>
      </c>
      <c r="I118" s="15"/>
    </row>
    <row r="119" spans="2:9" x14ac:dyDescent="0.25">
      <c r="B119" s="7">
        <v>115</v>
      </c>
      <c r="C119" s="51">
        <f t="shared" si="3"/>
        <v>46288</v>
      </c>
      <c r="D119" s="46">
        <f t="shared" si="2"/>
        <v>1503.4</v>
      </c>
      <c r="E119" s="30">
        <f>MAX(Dashboard!$J$16,(Dashboard!$I$16*Fundo!W118)/360)/30</f>
        <v>500</v>
      </c>
      <c r="F119" s="30">
        <f>MAX(Dashboard!$J$15,(Dashboard!$I$15*Fundo!W118)/360)/30</f>
        <v>500</v>
      </c>
      <c r="G119" s="81">
        <f>Fundo!R118*Dashboard!$I$14</f>
        <v>503.40000000000003</v>
      </c>
      <c r="H119" s="30">
        <v>0</v>
      </c>
      <c r="I119" s="15"/>
    </row>
    <row r="120" spans="2:9" x14ac:dyDescent="0.25">
      <c r="B120" s="7">
        <v>116</v>
      </c>
      <c r="C120" s="51">
        <f t="shared" si="3"/>
        <v>46289</v>
      </c>
      <c r="D120" s="46">
        <f t="shared" si="2"/>
        <v>1503.4</v>
      </c>
      <c r="E120" s="30">
        <f>MAX(Dashboard!$J$16,(Dashboard!$I$16*Fundo!W119)/360)/30</f>
        <v>500</v>
      </c>
      <c r="F120" s="30">
        <f>MAX(Dashboard!$J$15,(Dashboard!$I$15*Fundo!W119)/360)/30</f>
        <v>500</v>
      </c>
      <c r="G120" s="81">
        <f>Fundo!R119*Dashboard!$I$14</f>
        <v>503.40000000000003</v>
      </c>
      <c r="H120" s="30">
        <v>0</v>
      </c>
      <c r="I120" s="15"/>
    </row>
    <row r="121" spans="2:9" x14ac:dyDescent="0.25">
      <c r="B121" s="7">
        <v>117</v>
      </c>
      <c r="C121" s="51">
        <f t="shared" si="3"/>
        <v>46290</v>
      </c>
      <c r="D121" s="46">
        <f t="shared" si="2"/>
        <v>1503.4</v>
      </c>
      <c r="E121" s="30">
        <f>MAX(Dashboard!$J$16,(Dashboard!$I$16*Fundo!W120)/360)/30</f>
        <v>500</v>
      </c>
      <c r="F121" s="30">
        <f>MAX(Dashboard!$J$15,(Dashboard!$I$15*Fundo!W120)/360)/30</f>
        <v>500</v>
      </c>
      <c r="G121" s="81">
        <f>Fundo!R120*Dashboard!$I$14</f>
        <v>503.40000000000003</v>
      </c>
      <c r="H121" s="30">
        <v>0</v>
      </c>
      <c r="I121" s="15"/>
    </row>
    <row r="122" spans="2:9" x14ac:dyDescent="0.25">
      <c r="B122" s="7">
        <v>118</v>
      </c>
      <c r="C122" s="51">
        <f t="shared" si="3"/>
        <v>46291</v>
      </c>
      <c r="D122" s="46">
        <f t="shared" si="2"/>
        <v>1503.4</v>
      </c>
      <c r="E122" s="30">
        <f>MAX(Dashboard!$J$16,(Dashboard!$I$16*Fundo!W121)/360)/30</f>
        <v>500</v>
      </c>
      <c r="F122" s="30">
        <f>MAX(Dashboard!$J$15,(Dashboard!$I$15*Fundo!W121)/360)/30</f>
        <v>500</v>
      </c>
      <c r="G122" s="81">
        <f>Fundo!R121*Dashboard!$I$14</f>
        <v>503.40000000000003</v>
      </c>
      <c r="H122" s="30">
        <v>0</v>
      </c>
      <c r="I122" s="15"/>
    </row>
    <row r="123" spans="2:9" x14ac:dyDescent="0.25">
      <c r="B123" s="7">
        <v>119</v>
      </c>
      <c r="C123" s="51">
        <f t="shared" si="3"/>
        <v>46292</v>
      </c>
      <c r="D123" s="46">
        <f t="shared" si="2"/>
        <v>1503.4</v>
      </c>
      <c r="E123" s="30">
        <f>MAX(Dashboard!$J$16,(Dashboard!$I$16*Fundo!W122)/360)/30</f>
        <v>500</v>
      </c>
      <c r="F123" s="30">
        <f>MAX(Dashboard!$J$15,(Dashboard!$I$15*Fundo!W122)/360)/30</f>
        <v>500</v>
      </c>
      <c r="G123" s="81">
        <f>Fundo!R122*Dashboard!$I$14</f>
        <v>503.40000000000003</v>
      </c>
      <c r="H123" s="30">
        <v>0</v>
      </c>
      <c r="I123" s="15"/>
    </row>
    <row r="124" spans="2:9" x14ac:dyDescent="0.25">
      <c r="B124" s="7">
        <v>120</v>
      </c>
      <c r="C124" s="51">
        <f t="shared" si="3"/>
        <v>46293</v>
      </c>
      <c r="D124" s="46">
        <f t="shared" si="2"/>
        <v>1503.4</v>
      </c>
      <c r="E124" s="30">
        <f>MAX(Dashboard!$J$16,(Dashboard!$I$16*Fundo!W123)/360)/30</f>
        <v>500</v>
      </c>
      <c r="F124" s="30">
        <f>MAX(Dashboard!$J$15,(Dashboard!$I$15*Fundo!W123)/360)/30</f>
        <v>500</v>
      </c>
      <c r="G124" s="81">
        <f>Fundo!R123*Dashboard!$I$14</f>
        <v>503.40000000000003</v>
      </c>
      <c r="H124" s="30">
        <v>0</v>
      </c>
      <c r="I124" s="15"/>
    </row>
    <row r="125" spans="2:9" x14ac:dyDescent="0.25">
      <c r="B125" s="7">
        <v>121</v>
      </c>
      <c r="C125" s="51">
        <f t="shared" si="3"/>
        <v>46294</v>
      </c>
      <c r="D125" s="46">
        <f t="shared" si="2"/>
        <v>1503.4</v>
      </c>
      <c r="E125" s="30">
        <f>MAX(Dashboard!$J$16,(Dashboard!$I$16*Fundo!W124)/360)/30</f>
        <v>500</v>
      </c>
      <c r="F125" s="30">
        <f>MAX(Dashboard!$J$15,(Dashboard!$I$15*Fundo!W124)/360)/30</f>
        <v>500</v>
      </c>
      <c r="G125" s="81">
        <f>Fundo!R124*Dashboard!$I$14</f>
        <v>503.40000000000003</v>
      </c>
      <c r="H125" s="30">
        <v>0</v>
      </c>
      <c r="I125" s="15"/>
    </row>
    <row r="126" spans="2:9" x14ac:dyDescent="0.25">
      <c r="B126" s="7">
        <v>122</v>
      </c>
      <c r="C126" s="51">
        <f t="shared" si="3"/>
        <v>46295</v>
      </c>
      <c r="D126" s="46">
        <f t="shared" si="2"/>
        <v>1503.4</v>
      </c>
      <c r="E126" s="30">
        <f>MAX(Dashboard!$J$16,(Dashboard!$I$16*Fundo!W125)/360)/30</f>
        <v>500</v>
      </c>
      <c r="F126" s="30">
        <f>MAX(Dashboard!$J$15,(Dashboard!$I$15*Fundo!W125)/360)/30</f>
        <v>500</v>
      </c>
      <c r="G126" s="81">
        <f>Fundo!R125*Dashboard!$I$14</f>
        <v>503.40000000000003</v>
      </c>
      <c r="H126" s="30">
        <v>0</v>
      </c>
      <c r="I126" s="15"/>
    </row>
    <row r="127" spans="2:9" x14ac:dyDescent="0.25">
      <c r="B127" s="7">
        <v>123</v>
      </c>
      <c r="C127" s="51">
        <f t="shared" si="3"/>
        <v>46296</v>
      </c>
      <c r="D127" s="46">
        <f t="shared" si="2"/>
        <v>1503.4</v>
      </c>
      <c r="E127" s="30">
        <f>MAX(Dashboard!$J$16,(Dashboard!$I$16*Fundo!W126)/360)/30</f>
        <v>500</v>
      </c>
      <c r="F127" s="30">
        <f>MAX(Dashboard!$J$15,(Dashboard!$I$15*Fundo!W126)/360)/30</f>
        <v>500</v>
      </c>
      <c r="G127" s="81">
        <f>Fundo!R126*Dashboard!$I$14</f>
        <v>503.40000000000003</v>
      </c>
      <c r="H127" s="30">
        <v>0</v>
      </c>
      <c r="I127" s="15"/>
    </row>
    <row r="128" spans="2:9" x14ac:dyDescent="0.25">
      <c r="B128" s="7">
        <v>124</v>
      </c>
      <c r="C128" s="51">
        <f t="shared" si="3"/>
        <v>46297</v>
      </c>
      <c r="D128" s="46">
        <f t="shared" ref="D128:D191" si="4">E128+F128+G128+H128+I128</f>
        <v>1503.4</v>
      </c>
      <c r="E128" s="30">
        <f>MAX(Dashboard!$J$16,(Dashboard!$I$16*Fundo!W127)/360)/30</f>
        <v>500</v>
      </c>
      <c r="F128" s="30">
        <f>MAX(Dashboard!$J$15,(Dashboard!$I$15*Fundo!W127)/360)/30</f>
        <v>500</v>
      </c>
      <c r="G128" s="81">
        <f>Fundo!R127*Dashboard!$I$14</f>
        <v>503.40000000000003</v>
      </c>
      <c r="H128" s="30">
        <v>0</v>
      </c>
      <c r="I128" s="15"/>
    </row>
    <row r="129" spans="2:9" x14ac:dyDescent="0.25">
      <c r="B129" s="7">
        <v>125</v>
      </c>
      <c r="C129" s="51">
        <f t="shared" si="3"/>
        <v>46298</v>
      </c>
      <c r="D129" s="46">
        <f t="shared" si="4"/>
        <v>1503.4</v>
      </c>
      <c r="E129" s="30">
        <f>MAX(Dashboard!$J$16,(Dashboard!$I$16*Fundo!W128)/360)/30</f>
        <v>500</v>
      </c>
      <c r="F129" s="30">
        <f>MAX(Dashboard!$J$15,(Dashboard!$I$15*Fundo!W128)/360)/30</f>
        <v>500</v>
      </c>
      <c r="G129" s="81">
        <f>Fundo!R128*Dashboard!$I$14</f>
        <v>503.40000000000003</v>
      </c>
      <c r="H129" s="30">
        <v>0</v>
      </c>
      <c r="I129" s="15"/>
    </row>
    <row r="130" spans="2:9" x14ac:dyDescent="0.25">
      <c r="B130" s="7">
        <v>126</v>
      </c>
      <c r="C130" s="51">
        <f t="shared" si="3"/>
        <v>46299</v>
      </c>
      <c r="D130" s="46">
        <f t="shared" si="4"/>
        <v>1503.4</v>
      </c>
      <c r="E130" s="30">
        <f>MAX(Dashboard!$J$16,(Dashboard!$I$16*Fundo!W129)/360)/30</f>
        <v>500</v>
      </c>
      <c r="F130" s="30">
        <f>MAX(Dashboard!$J$15,(Dashboard!$I$15*Fundo!W129)/360)/30</f>
        <v>500</v>
      </c>
      <c r="G130" s="81">
        <f>Fundo!R129*Dashboard!$I$14</f>
        <v>503.40000000000003</v>
      </c>
      <c r="H130" s="30">
        <v>0</v>
      </c>
      <c r="I130" s="15"/>
    </row>
    <row r="131" spans="2:9" x14ac:dyDescent="0.25">
      <c r="B131" s="7">
        <v>127</v>
      </c>
      <c r="C131" s="51">
        <f t="shared" si="3"/>
        <v>46300</v>
      </c>
      <c r="D131" s="46">
        <f t="shared" si="4"/>
        <v>1503.4</v>
      </c>
      <c r="E131" s="30">
        <f>MAX(Dashboard!$J$16,(Dashboard!$I$16*Fundo!W130)/360)/30</f>
        <v>500</v>
      </c>
      <c r="F131" s="30">
        <f>MAX(Dashboard!$J$15,(Dashboard!$I$15*Fundo!W130)/360)/30</f>
        <v>500</v>
      </c>
      <c r="G131" s="81">
        <f>Fundo!R130*Dashboard!$I$14</f>
        <v>503.40000000000003</v>
      </c>
      <c r="H131" s="30">
        <v>0</v>
      </c>
      <c r="I131" s="15"/>
    </row>
    <row r="132" spans="2:9" x14ac:dyDescent="0.25">
      <c r="B132" s="7">
        <v>128</v>
      </c>
      <c r="C132" s="51">
        <f t="shared" si="3"/>
        <v>46301</v>
      </c>
      <c r="D132" s="46">
        <f t="shared" si="4"/>
        <v>1503.4</v>
      </c>
      <c r="E132" s="30">
        <f>MAX(Dashboard!$J$16,(Dashboard!$I$16*Fundo!W131)/360)/30</f>
        <v>500</v>
      </c>
      <c r="F132" s="30">
        <f>MAX(Dashboard!$J$15,(Dashboard!$I$15*Fundo!W131)/360)/30</f>
        <v>500</v>
      </c>
      <c r="G132" s="81">
        <f>Fundo!R131*Dashboard!$I$14</f>
        <v>503.40000000000003</v>
      </c>
      <c r="H132" s="30">
        <v>0</v>
      </c>
      <c r="I132" s="15"/>
    </row>
    <row r="133" spans="2:9" x14ac:dyDescent="0.25">
      <c r="B133" s="7">
        <v>129</v>
      </c>
      <c r="C133" s="51">
        <f t="shared" si="3"/>
        <v>46302</v>
      </c>
      <c r="D133" s="46">
        <f t="shared" si="4"/>
        <v>1503.4</v>
      </c>
      <c r="E133" s="30">
        <f>MAX(Dashboard!$J$16,(Dashboard!$I$16*Fundo!W132)/360)/30</f>
        <v>500</v>
      </c>
      <c r="F133" s="30">
        <f>MAX(Dashboard!$J$15,(Dashboard!$I$15*Fundo!W132)/360)/30</f>
        <v>500</v>
      </c>
      <c r="G133" s="81">
        <f>Fundo!R132*Dashboard!$I$14</f>
        <v>503.40000000000003</v>
      </c>
      <c r="H133" s="30">
        <v>0</v>
      </c>
      <c r="I133" s="15"/>
    </row>
    <row r="134" spans="2:9" x14ac:dyDescent="0.25">
      <c r="B134" s="7">
        <v>130</v>
      </c>
      <c r="C134" s="51">
        <f t="shared" si="3"/>
        <v>46303</v>
      </c>
      <c r="D134" s="46">
        <f t="shared" si="4"/>
        <v>1503.4</v>
      </c>
      <c r="E134" s="30">
        <f>MAX(Dashboard!$J$16,(Dashboard!$I$16*Fundo!W133)/360)/30</f>
        <v>500</v>
      </c>
      <c r="F134" s="30">
        <f>MAX(Dashboard!$J$15,(Dashboard!$I$15*Fundo!W133)/360)/30</f>
        <v>500</v>
      </c>
      <c r="G134" s="81">
        <f>Fundo!R133*Dashboard!$I$14</f>
        <v>503.40000000000003</v>
      </c>
      <c r="H134" s="30">
        <v>0</v>
      </c>
      <c r="I134" s="15"/>
    </row>
    <row r="135" spans="2:9" x14ac:dyDescent="0.25">
      <c r="B135" s="7">
        <v>131</v>
      </c>
      <c r="C135" s="51">
        <f t="shared" ref="C135:C198" si="5">C134+1</f>
        <v>46304</v>
      </c>
      <c r="D135" s="46">
        <f t="shared" si="4"/>
        <v>1503.4</v>
      </c>
      <c r="E135" s="30">
        <f>MAX(Dashboard!$J$16,(Dashboard!$I$16*Fundo!W134)/360)/30</f>
        <v>500</v>
      </c>
      <c r="F135" s="30">
        <f>MAX(Dashboard!$J$15,(Dashboard!$I$15*Fundo!W134)/360)/30</f>
        <v>500</v>
      </c>
      <c r="G135" s="81">
        <f>Fundo!R134*Dashboard!$I$14</f>
        <v>503.40000000000003</v>
      </c>
      <c r="H135" s="30">
        <v>0</v>
      </c>
      <c r="I135" s="15"/>
    </row>
    <row r="136" spans="2:9" x14ac:dyDescent="0.25">
      <c r="B136" s="7">
        <v>132</v>
      </c>
      <c r="C136" s="51">
        <f t="shared" si="5"/>
        <v>46305</v>
      </c>
      <c r="D136" s="46">
        <f t="shared" si="4"/>
        <v>1503.4</v>
      </c>
      <c r="E136" s="30">
        <f>MAX(Dashboard!$J$16,(Dashboard!$I$16*Fundo!W135)/360)/30</f>
        <v>500</v>
      </c>
      <c r="F136" s="30">
        <f>MAX(Dashboard!$J$15,(Dashboard!$I$15*Fundo!W135)/360)/30</f>
        <v>500</v>
      </c>
      <c r="G136" s="81">
        <f>Fundo!R135*Dashboard!$I$14</f>
        <v>503.40000000000003</v>
      </c>
      <c r="H136" s="30">
        <v>0</v>
      </c>
      <c r="I136" s="15"/>
    </row>
    <row r="137" spans="2:9" x14ac:dyDescent="0.25">
      <c r="B137" s="7">
        <v>133</v>
      </c>
      <c r="C137" s="51">
        <f t="shared" si="5"/>
        <v>46306</v>
      </c>
      <c r="D137" s="46">
        <f t="shared" si="4"/>
        <v>1503.4</v>
      </c>
      <c r="E137" s="30">
        <f>MAX(Dashboard!$J$16,(Dashboard!$I$16*Fundo!W136)/360)/30</f>
        <v>500</v>
      </c>
      <c r="F137" s="30">
        <f>MAX(Dashboard!$J$15,(Dashboard!$I$15*Fundo!W136)/360)/30</f>
        <v>500</v>
      </c>
      <c r="G137" s="81">
        <f>Fundo!R136*Dashboard!$I$14</f>
        <v>503.40000000000003</v>
      </c>
      <c r="H137" s="30">
        <v>0</v>
      </c>
      <c r="I137" s="15"/>
    </row>
    <row r="138" spans="2:9" x14ac:dyDescent="0.25">
      <c r="B138" s="7">
        <v>134</v>
      </c>
      <c r="C138" s="51">
        <f t="shared" si="5"/>
        <v>46307</v>
      </c>
      <c r="D138" s="46">
        <f t="shared" si="4"/>
        <v>1503.4</v>
      </c>
      <c r="E138" s="30">
        <f>MAX(Dashboard!$J$16,(Dashboard!$I$16*Fundo!W137)/360)/30</f>
        <v>500</v>
      </c>
      <c r="F138" s="30">
        <f>MAX(Dashboard!$J$15,(Dashboard!$I$15*Fundo!W137)/360)/30</f>
        <v>500</v>
      </c>
      <c r="G138" s="81">
        <f>Fundo!R137*Dashboard!$I$14</f>
        <v>503.40000000000003</v>
      </c>
      <c r="H138" s="30">
        <v>0</v>
      </c>
      <c r="I138" s="15"/>
    </row>
    <row r="139" spans="2:9" x14ac:dyDescent="0.25">
      <c r="B139" s="7">
        <v>135</v>
      </c>
      <c r="C139" s="51">
        <f t="shared" si="5"/>
        <v>46308</v>
      </c>
      <c r="D139" s="46">
        <f t="shared" si="4"/>
        <v>1503.4</v>
      </c>
      <c r="E139" s="30">
        <f>MAX(Dashboard!$J$16,(Dashboard!$I$16*Fundo!W138)/360)/30</f>
        <v>500</v>
      </c>
      <c r="F139" s="30">
        <f>MAX(Dashboard!$J$15,(Dashboard!$I$15*Fundo!W138)/360)/30</f>
        <v>500</v>
      </c>
      <c r="G139" s="81">
        <f>Fundo!R138*Dashboard!$I$14</f>
        <v>503.40000000000003</v>
      </c>
      <c r="H139" s="30">
        <v>0</v>
      </c>
      <c r="I139" s="15"/>
    </row>
    <row r="140" spans="2:9" x14ac:dyDescent="0.25">
      <c r="B140" s="7">
        <v>136</v>
      </c>
      <c r="C140" s="51">
        <f t="shared" si="5"/>
        <v>46309</v>
      </c>
      <c r="D140" s="46">
        <f t="shared" si="4"/>
        <v>1503.4</v>
      </c>
      <c r="E140" s="30">
        <f>MAX(Dashboard!$J$16,(Dashboard!$I$16*Fundo!W139)/360)/30</f>
        <v>500</v>
      </c>
      <c r="F140" s="30">
        <f>MAX(Dashboard!$J$15,(Dashboard!$I$15*Fundo!W139)/360)/30</f>
        <v>500</v>
      </c>
      <c r="G140" s="81">
        <f>Fundo!R139*Dashboard!$I$14</f>
        <v>503.40000000000003</v>
      </c>
      <c r="H140" s="30">
        <v>0</v>
      </c>
      <c r="I140" s="15"/>
    </row>
    <row r="141" spans="2:9" x14ac:dyDescent="0.25">
      <c r="B141" s="7">
        <v>137</v>
      </c>
      <c r="C141" s="51">
        <f t="shared" si="5"/>
        <v>46310</v>
      </c>
      <c r="D141" s="46">
        <f t="shared" si="4"/>
        <v>1503.4</v>
      </c>
      <c r="E141" s="30">
        <f>MAX(Dashboard!$J$16,(Dashboard!$I$16*Fundo!W140)/360)/30</f>
        <v>500</v>
      </c>
      <c r="F141" s="30">
        <f>MAX(Dashboard!$J$15,(Dashboard!$I$15*Fundo!W140)/360)/30</f>
        <v>500</v>
      </c>
      <c r="G141" s="81">
        <f>Fundo!R140*Dashboard!$I$14</f>
        <v>503.40000000000003</v>
      </c>
      <c r="H141" s="30">
        <v>0</v>
      </c>
      <c r="I141" s="15"/>
    </row>
    <row r="142" spans="2:9" x14ac:dyDescent="0.25">
      <c r="B142" s="7">
        <v>138</v>
      </c>
      <c r="C142" s="51">
        <f t="shared" si="5"/>
        <v>46311</v>
      </c>
      <c r="D142" s="46">
        <f t="shared" si="4"/>
        <v>1503.4</v>
      </c>
      <c r="E142" s="30">
        <f>MAX(Dashboard!$J$16,(Dashboard!$I$16*Fundo!W141)/360)/30</f>
        <v>500</v>
      </c>
      <c r="F142" s="30">
        <f>MAX(Dashboard!$J$15,(Dashboard!$I$15*Fundo!W141)/360)/30</f>
        <v>500</v>
      </c>
      <c r="G142" s="81">
        <f>Fundo!R141*Dashboard!$I$14</f>
        <v>503.40000000000003</v>
      </c>
      <c r="H142" s="30">
        <v>0</v>
      </c>
      <c r="I142" s="15"/>
    </row>
    <row r="143" spans="2:9" x14ac:dyDescent="0.25">
      <c r="B143" s="7">
        <v>139</v>
      </c>
      <c r="C143" s="51">
        <f t="shared" si="5"/>
        <v>46312</v>
      </c>
      <c r="D143" s="46">
        <f t="shared" si="4"/>
        <v>1503.4</v>
      </c>
      <c r="E143" s="30">
        <f>MAX(Dashboard!$J$16,(Dashboard!$I$16*Fundo!W142)/360)/30</f>
        <v>500</v>
      </c>
      <c r="F143" s="30">
        <f>MAX(Dashboard!$J$15,(Dashboard!$I$15*Fundo!W142)/360)/30</f>
        <v>500</v>
      </c>
      <c r="G143" s="81">
        <f>Fundo!R142*Dashboard!$I$14</f>
        <v>503.40000000000003</v>
      </c>
      <c r="H143" s="30">
        <v>0</v>
      </c>
      <c r="I143" s="15"/>
    </row>
    <row r="144" spans="2:9" x14ac:dyDescent="0.25">
      <c r="B144" s="7">
        <v>140</v>
      </c>
      <c r="C144" s="51">
        <f t="shared" si="5"/>
        <v>46313</v>
      </c>
      <c r="D144" s="46">
        <f t="shared" si="4"/>
        <v>1503.4</v>
      </c>
      <c r="E144" s="30">
        <f>MAX(Dashboard!$J$16,(Dashboard!$I$16*Fundo!W143)/360)/30</f>
        <v>500</v>
      </c>
      <c r="F144" s="30">
        <f>MAX(Dashboard!$J$15,(Dashboard!$I$15*Fundo!W143)/360)/30</f>
        <v>500</v>
      </c>
      <c r="G144" s="81">
        <f>Fundo!R143*Dashboard!$I$14</f>
        <v>503.40000000000003</v>
      </c>
      <c r="H144" s="30">
        <v>0</v>
      </c>
      <c r="I144" s="15"/>
    </row>
    <row r="145" spans="2:9" x14ac:dyDescent="0.25">
      <c r="B145" s="7">
        <v>141</v>
      </c>
      <c r="C145" s="51">
        <f t="shared" si="5"/>
        <v>46314</v>
      </c>
      <c r="D145" s="46">
        <f t="shared" si="4"/>
        <v>1503.4</v>
      </c>
      <c r="E145" s="30">
        <f>MAX(Dashboard!$J$16,(Dashboard!$I$16*Fundo!W144)/360)/30</f>
        <v>500</v>
      </c>
      <c r="F145" s="30">
        <f>MAX(Dashboard!$J$15,(Dashboard!$I$15*Fundo!W144)/360)/30</f>
        <v>500</v>
      </c>
      <c r="G145" s="81">
        <f>Fundo!R144*Dashboard!$I$14</f>
        <v>503.40000000000003</v>
      </c>
      <c r="H145" s="30">
        <v>0</v>
      </c>
      <c r="I145" s="15"/>
    </row>
    <row r="146" spans="2:9" x14ac:dyDescent="0.25">
      <c r="B146" s="7">
        <v>142</v>
      </c>
      <c r="C146" s="51">
        <f t="shared" si="5"/>
        <v>46315</v>
      </c>
      <c r="D146" s="46">
        <f t="shared" si="4"/>
        <v>1503.4</v>
      </c>
      <c r="E146" s="30">
        <f>MAX(Dashboard!$J$16,(Dashboard!$I$16*Fundo!W145)/360)/30</f>
        <v>500</v>
      </c>
      <c r="F146" s="30">
        <f>MAX(Dashboard!$J$15,(Dashboard!$I$15*Fundo!W145)/360)/30</f>
        <v>500</v>
      </c>
      <c r="G146" s="81">
        <f>Fundo!R145*Dashboard!$I$14</f>
        <v>503.40000000000003</v>
      </c>
      <c r="H146" s="30">
        <v>0</v>
      </c>
      <c r="I146" s="15"/>
    </row>
    <row r="147" spans="2:9" x14ac:dyDescent="0.25">
      <c r="B147" s="7">
        <v>143</v>
      </c>
      <c r="C147" s="51">
        <f t="shared" si="5"/>
        <v>46316</v>
      </c>
      <c r="D147" s="46">
        <f t="shared" si="4"/>
        <v>1503.4</v>
      </c>
      <c r="E147" s="30">
        <f>MAX(Dashboard!$J$16,(Dashboard!$I$16*Fundo!W146)/360)/30</f>
        <v>500</v>
      </c>
      <c r="F147" s="30">
        <f>MAX(Dashboard!$J$15,(Dashboard!$I$15*Fundo!W146)/360)/30</f>
        <v>500</v>
      </c>
      <c r="G147" s="81">
        <f>Fundo!R146*Dashboard!$I$14</f>
        <v>503.40000000000003</v>
      </c>
      <c r="H147" s="30">
        <v>0</v>
      </c>
      <c r="I147" s="15"/>
    </row>
    <row r="148" spans="2:9" x14ac:dyDescent="0.25">
      <c r="B148" s="7">
        <v>144</v>
      </c>
      <c r="C148" s="51">
        <f t="shared" si="5"/>
        <v>46317</v>
      </c>
      <c r="D148" s="46">
        <f t="shared" si="4"/>
        <v>1503.4</v>
      </c>
      <c r="E148" s="30">
        <f>MAX(Dashboard!$J$16,(Dashboard!$I$16*Fundo!W147)/360)/30</f>
        <v>500</v>
      </c>
      <c r="F148" s="30">
        <f>MAX(Dashboard!$J$15,(Dashboard!$I$15*Fundo!W147)/360)/30</f>
        <v>500</v>
      </c>
      <c r="G148" s="81">
        <f>Fundo!R147*Dashboard!$I$14</f>
        <v>503.40000000000003</v>
      </c>
      <c r="H148" s="30">
        <v>0</v>
      </c>
      <c r="I148" s="15"/>
    </row>
    <row r="149" spans="2:9" x14ac:dyDescent="0.25">
      <c r="B149" s="7">
        <v>145</v>
      </c>
      <c r="C149" s="51">
        <f t="shared" si="5"/>
        <v>46318</v>
      </c>
      <c r="D149" s="46">
        <f t="shared" si="4"/>
        <v>1503.4</v>
      </c>
      <c r="E149" s="30">
        <f>MAX(Dashboard!$J$16,(Dashboard!$I$16*Fundo!W148)/360)/30</f>
        <v>500</v>
      </c>
      <c r="F149" s="30">
        <f>MAX(Dashboard!$J$15,(Dashboard!$I$15*Fundo!W148)/360)/30</f>
        <v>500</v>
      </c>
      <c r="G149" s="81">
        <f>Fundo!R148*Dashboard!$I$14</f>
        <v>503.40000000000003</v>
      </c>
      <c r="H149" s="30">
        <v>0</v>
      </c>
      <c r="I149" s="15"/>
    </row>
    <row r="150" spans="2:9" x14ac:dyDescent="0.25">
      <c r="B150" s="7">
        <v>146</v>
      </c>
      <c r="C150" s="51">
        <f t="shared" si="5"/>
        <v>46319</v>
      </c>
      <c r="D150" s="46">
        <f t="shared" si="4"/>
        <v>1503.4</v>
      </c>
      <c r="E150" s="30">
        <f>MAX(Dashboard!$J$16,(Dashboard!$I$16*Fundo!W149)/360)/30</f>
        <v>500</v>
      </c>
      <c r="F150" s="30">
        <f>MAX(Dashboard!$J$15,(Dashboard!$I$15*Fundo!W149)/360)/30</f>
        <v>500</v>
      </c>
      <c r="G150" s="81">
        <f>Fundo!R149*Dashboard!$I$14</f>
        <v>503.40000000000003</v>
      </c>
      <c r="H150" s="30">
        <v>0</v>
      </c>
      <c r="I150" s="15"/>
    </row>
    <row r="151" spans="2:9" x14ac:dyDescent="0.25">
      <c r="B151" s="7">
        <v>147</v>
      </c>
      <c r="C151" s="51">
        <f t="shared" si="5"/>
        <v>46320</v>
      </c>
      <c r="D151" s="46">
        <f t="shared" si="4"/>
        <v>1503.4</v>
      </c>
      <c r="E151" s="30">
        <f>MAX(Dashboard!$J$16,(Dashboard!$I$16*Fundo!W150)/360)/30</f>
        <v>500</v>
      </c>
      <c r="F151" s="30">
        <f>MAX(Dashboard!$J$15,(Dashboard!$I$15*Fundo!W150)/360)/30</f>
        <v>500</v>
      </c>
      <c r="G151" s="81">
        <f>Fundo!R150*Dashboard!$I$14</f>
        <v>503.40000000000003</v>
      </c>
      <c r="H151" s="30">
        <v>0</v>
      </c>
      <c r="I151" s="15"/>
    </row>
    <row r="152" spans="2:9" x14ac:dyDescent="0.25">
      <c r="B152" s="7">
        <v>148</v>
      </c>
      <c r="C152" s="51">
        <f t="shared" si="5"/>
        <v>46321</v>
      </c>
      <c r="D152" s="46">
        <f t="shared" si="4"/>
        <v>1503.4</v>
      </c>
      <c r="E152" s="30">
        <f>MAX(Dashboard!$J$16,(Dashboard!$I$16*Fundo!W151)/360)/30</f>
        <v>500</v>
      </c>
      <c r="F152" s="30">
        <f>MAX(Dashboard!$J$15,(Dashboard!$I$15*Fundo!W151)/360)/30</f>
        <v>500</v>
      </c>
      <c r="G152" s="81">
        <f>Fundo!R151*Dashboard!$I$14</f>
        <v>503.40000000000003</v>
      </c>
      <c r="H152" s="30">
        <v>0</v>
      </c>
      <c r="I152" s="15"/>
    </row>
    <row r="153" spans="2:9" x14ac:dyDescent="0.25">
      <c r="B153" s="7">
        <v>149</v>
      </c>
      <c r="C153" s="51">
        <f t="shared" si="5"/>
        <v>46322</v>
      </c>
      <c r="D153" s="46">
        <f t="shared" si="4"/>
        <v>1503.4</v>
      </c>
      <c r="E153" s="30">
        <f>MAX(Dashboard!$J$16,(Dashboard!$I$16*Fundo!W152)/360)/30</f>
        <v>500</v>
      </c>
      <c r="F153" s="30">
        <f>MAX(Dashboard!$J$15,(Dashboard!$I$15*Fundo!W152)/360)/30</f>
        <v>500</v>
      </c>
      <c r="G153" s="81">
        <f>Fundo!R152*Dashboard!$I$14</f>
        <v>503.40000000000003</v>
      </c>
      <c r="H153" s="30">
        <v>0</v>
      </c>
      <c r="I153" s="15"/>
    </row>
    <row r="154" spans="2:9" x14ac:dyDescent="0.25">
      <c r="B154" s="7">
        <v>150</v>
      </c>
      <c r="C154" s="51">
        <f t="shared" si="5"/>
        <v>46323</v>
      </c>
      <c r="D154" s="46">
        <f t="shared" si="4"/>
        <v>1503.4</v>
      </c>
      <c r="E154" s="30">
        <f>MAX(Dashboard!$J$16,(Dashboard!$I$16*Fundo!W153)/360)/30</f>
        <v>500</v>
      </c>
      <c r="F154" s="30">
        <f>MAX(Dashboard!$J$15,(Dashboard!$I$15*Fundo!W153)/360)/30</f>
        <v>500</v>
      </c>
      <c r="G154" s="81">
        <f>Fundo!R153*Dashboard!$I$14</f>
        <v>503.40000000000003</v>
      </c>
      <c r="H154" s="30">
        <v>0</v>
      </c>
      <c r="I154" s="15"/>
    </row>
    <row r="155" spans="2:9" x14ac:dyDescent="0.25">
      <c r="B155" s="7">
        <v>151</v>
      </c>
      <c r="C155" s="51">
        <f t="shared" si="5"/>
        <v>46324</v>
      </c>
      <c r="D155" s="46">
        <f t="shared" si="4"/>
        <v>1503.4</v>
      </c>
      <c r="E155" s="30">
        <f>MAX(Dashboard!$J$16,(Dashboard!$I$16*Fundo!W154)/360)/30</f>
        <v>500</v>
      </c>
      <c r="F155" s="30">
        <f>MAX(Dashboard!$J$15,(Dashboard!$I$15*Fundo!W154)/360)/30</f>
        <v>500</v>
      </c>
      <c r="G155" s="81">
        <f>Fundo!R154*Dashboard!$I$14</f>
        <v>503.40000000000003</v>
      </c>
      <c r="H155" s="30">
        <v>0</v>
      </c>
      <c r="I155" s="15"/>
    </row>
    <row r="156" spans="2:9" x14ac:dyDescent="0.25">
      <c r="B156" s="7">
        <v>152</v>
      </c>
      <c r="C156" s="51">
        <f t="shared" si="5"/>
        <v>46325</v>
      </c>
      <c r="D156" s="46">
        <f t="shared" si="4"/>
        <v>1503.4</v>
      </c>
      <c r="E156" s="30">
        <f>MAX(Dashboard!$J$16,(Dashboard!$I$16*Fundo!W155)/360)/30</f>
        <v>500</v>
      </c>
      <c r="F156" s="30">
        <f>MAX(Dashboard!$J$15,(Dashboard!$I$15*Fundo!W155)/360)/30</f>
        <v>500</v>
      </c>
      <c r="G156" s="81">
        <f>Fundo!R155*Dashboard!$I$14</f>
        <v>503.40000000000003</v>
      </c>
      <c r="H156" s="30">
        <v>0</v>
      </c>
      <c r="I156" s="15"/>
    </row>
    <row r="157" spans="2:9" x14ac:dyDescent="0.25">
      <c r="B157" s="7">
        <v>153</v>
      </c>
      <c r="C157" s="51">
        <f t="shared" si="5"/>
        <v>46326</v>
      </c>
      <c r="D157" s="46">
        <f t="shared" si="4"/>
        <v>1503.4</v>
      </c>
      <c r="E157" s="30">
        <f>MAX(Dashboard!$J$16,(Dashboard!$I$16*Fundo!W156)/360)/30</f>
        <v>500</v>
      </c>
      <c r="F157" s="30">
        <f>MAX(Dashboard!$J$15,(Dashboard!$I$15*Fundo!W156)/360)/30</f>
        <v>500</v>
      </c>
      <c r="G157" s="81">
        <f>Fundo!R156*Dashboard!$I$14</f>
        <v>503.40000000000003</v>
      </c>
      <c r="H157" s="30">
        <v>0</v>
      </c>
      <c r="I157" s="15"/>
    </row>
    <row r="158" spans="2:9" x14ac:dyDescent="0.25">
      <c r="B158" s="7">
        <v>154</v>
      </c>
      <c r="C158" s="51">
        <f t="shared" si="5"/>
        <v>46327</v>
      </c>
      <c r="D158" s="46">
        <f t="shared" si="4"/>
        <v>1503.4</v>
      </c>
      <c r="E158" s="30">
        <f>MAX(Dashboard!$J$16,(Dashboard!$I$16*Fundo!W157)/360)/30</f>
        <v>500</v>
      </c>
      <c r="F158" s="30">
        <f>MAX(Dashboard!$J$15,(Dashboard!$I$15*Fundo!W157)/360)/30</f>
        <v>500</v>
      </c>
      <c r="G158" s="81">
        <f>Fundo!R157*Dashboard!$I$14</f>
        <v>503.40000000000003</v>
      </c>
      <c r="H158" s="30">
        <v>0</v>
      </c>
      <c r="I158" s="15"/>
    </row>
    <row r="159" spans="2:9" x14ac:dyDescent="0.25">
      <c r="B159" s="7">
        <v>155</v>
      </c>
      <c r="C159" s="51">
        <f t="shared" si="5"/>
        <v>46328</v>
      </c>
      <c r="D159" s="46">
        <f t="shared" si="4"/>
        <v>1503.4</v>
      </c>
      <c r="E159" s="30">
        <f>MAX(Dashboard!$J$16,(Dashboard!$I$16*Fundo!W158)/360)/30</f>
        <v>500</v>
      </c>
      <c r="F159" s="30">
        <f>MAX(Dashboard!$J$15,(Dashboard!$I$15*Fundo!W158)/360)/30</f>
        <v>500</v>
      </c>
      <c r="G159" s="81">
        <f>Fundo!R158*Dashboard!$I$14</f>
        <v>503.40000000000003</v>
      </c>
      <c r="H159" s="30">
        <v>0</v>
      </c>
      <c r="I159" s="15"/>
    </row>
    <row r="160" spans="2:9" x14ac:dyDescent="0.25">
      <c r="B160" s="7">
        <v>156</v>
      </c>
      <c r="C160" s="51">
        <f t="shared" si="5"/>
        <v>46329</v>
      </c>
      <c r="D160" s="46">
        <f t="shared" si="4"/>
        <v>1503.4</v>
      </c>
      <c r="E160" s="30">
        <f>MAX(Dashboard!$J$16,(Dashboard!$I$16*Fundo!W159)/360)/30</f>
        <v>500</v>
      </c>
      <c r="F160" s="30">
        <f>MAX(Dashboard!$J$15,(Dashboard!$I$15*Fundo!W159)/360)/30</f>
        <v>500</v>
      </c>
      <c r="G160" s="81">
        <f>Fundo!R159*Dashboard!$I$14</f>
        <v>503.40000000000003</v>
      </c>
      <c r="H160" s="30">
        <v>0</v>
      </c>
      <c r="I160" s="15"/>
    </row>
    <row r="161" spans="2:9" x14ac:dyDescent="0.25">
      <c r="B161" s="7">
        <v>157</v>
      </c>
      <c r="C161" s="51">
        <f t="shared" si="5"/>
        <v>46330</v>
      </c>
      <c r="D161" s="46">
        <f t="shared" si="4"/>
        <v>1503.4</v>
      </c>
      <c r="E161" s="30">
        <f>MAX(Dashboard!$J$16,(Dashboard!$I$16*Fundo!W160)/360)/30</f>
        <v>500</v>
      </c>
      <c r="F161" s="30">
        <f>MAX(Dashboard!$J$15,(Dashboard!$I$15*Fundo!W160)/360)/30</f>
        <v>500</v>
      </c>
      <c r="G161" s="81">
        <f>Fundo!R160*Dashboard!$I$14</f>
        <v>503.40000000000003</v>
      </c>
      <c r="H161" s="30">
        <v>0</v>
      </c>
      <c r="I161" s="15"/>
    </row>
    <row r="162" spans="2:9" x14ac:dyDescent="0.25">
      <c r="B162" s="7">
        <v>158</v>
      </c>
      <c r="C162" s="51">
        <f t="shared" si="5"/>
        <v>46331</v>
      </c>
      <c r="D162" s="46">
        <f t="shared" si="4"/>
        <v>1503.4</v>
      </c>
      <c r="E162" s="30">
        <f>MAX(Dashboard!$J$16,(Dashboard!$I$16*Fundo!W161)/360)/30</f>
        <v>500</v>
      </c>
      <c r="F162" s="30">
        <f>MAX(Dashboard!$J$15,(Dashboard!$I$15*Fundo!W161)/360)/30</f>
        <v>500</v>
      </c>
      <c r="G162" s="81">
        <f>Fundo!R161*Dashboard!$I$14</f>
        <v>503.40000000000003</v>
      </c>
      <c r="H162" s="30">
        <v>0</v>
      </c>
      <c r="I162" s="15"/>
    </row>
    <row r="163" spans="2:9" x14ac:dyDescent="0.25">
      <c r="B163" s="7">
        <v>159</v>
      </c>
      <c r="C163" s="51">
        <f t="shared" si="5"/>
        <v>46332</v>
      </c>
      <c r="D163" s="46">
        <f t="shared" si="4"/>
        <v>1503.4</v>
      </c>
      <c r="E163" s="30">
        <f>MAX(Dashboard!$J$16,(Dashboard!$I$16*Fundo!W162)/360)/30</f>
        <v>500</v>
      </c>
      <c r="F163" s="30">
        <f>MAX(Dashboard!$J$15,(Dashboard!$I$15*Fundo!W162)/360)/30</f>
        <v>500</v>
      </c>
      <c r="G163" s="81">
        <f>Fundo!R162*Dashboard!$I$14</f>
        <v>503.40000000000003</v>
      </c>
      <c r="H163" s="30">
        <v>0</v>
      </c>
      <c r="I163" s="15"/>
    </row>
    <row r="164" spans="2:9" x14ac:dyDescent="0.25">
      <c r="B164" s="7">
        <v>160</v>
      </c>
      <c r="C164" s="51">
        <f t="shared" si="5"/>
        <v>46333</v>
      </c>
      <c r="D164" s="46">
        <f t="shared" si="4"/>
        <v>1503.4</v>
      </c>
      <c r="E164" s="30">
        <f>MAX(Dashboard!$J$16,(Dashboard!$I$16*Fundo!W163)/360)/30</f>
        <v>500</v>
      </c>
      <c r="F164" s="30">
        <f>MAX(Dashboard!$J$15,(Dashboard!$I$15*Fundo!W163)/360)/30</f>
        <v>500</v>
      </c>
      <c r="G164" s="81">
        <f>Fundo!R163*Dashboard!$I$14</f>
        <v>503.40000000000003</v>
      </c>
      <c r="H164" s="30">
        <v>0</v>
      </c>
      <c r="I164" s="15"/>
    </row>
    <row r="165" spans="2:9" x14ac:dyDescent="0.25">
      <c r="B165" s="7">
        <v>161</v>
      </c>
      <c r="C165" s="51">
        <f t="shared" si="5"/>
        <v>46334</v>
      </c>
      <c r="D165" s="46">
        <f t="shared" si="4"/>
        <v>1503.4</v>
      </c>
      <c r="E165" s="30">
        <f>MAX(Dashboard!$J$16,(Dashboard!$I$16*Fundo!W164)/360)/30</f>
        <v>500</v>
      </c>
      <c r="F165" s="30">
        <f>MAX(Dashboard!$J$15,(Dashboard!$I$15*Fundo!W164)/360)/30</f>
        <v>500</v>
      </c>
      <c r="G165" s="81">
        <f>Fundo!R164*Dashboard!$I$14</f>
        <v>503.40000000000003</v>
      </c>
      <c r="H165" s="30">
        <v>0</v>
      </c>
      <c r="I165" s="15"/>
    </row>
    <row r="166" spans="2:9" x14ac:dyDescent="0.25">
      <c r="B166" s="7">
        <v>162</v>
      </c>
      <c r="C166" s="51">
        <f t="shared" si="5"/>
        <v>46335</v>
      </c>
      <c r="D166" s="46">
        <f t="shared" si="4"/>
        <v>1503.4</v>
      </c>
      <c r="E166" s="30">
        <f>MAX(Dashboard!$J$16,(Dashboard!$I$16*Fundo!W165)/360)/30</f>
        <v>500</v>
      </c>
      <c r="F166" s="30">
        <f>MAX(Dashboard!$J$15,(Dashboard!$I$15*Fundo!W165)/360)/30</f>
        <v>500</v>
      </c>
      <c r="G166" s="81">
        <f>Fundo!R165*Dashboard!$I$14</f>
        <v>503.40000000000003</v>
      </c>
      <c r="H166" s="30">
        <v>0</v>
      </c>
      <c r="I166" s="15"/>
    </row>
    <row r="167" spans="2:9" x14ac:dyDescent="0.25">
      <c r="B167" s="7">
        <v>163</v>
      </c>
      <c r="C167" s="51">
        <f t="shared" si="5"/>
        <v>46336</v>
      </c>
      <c r="D167" s="46">
        <f t="shared" si="4"/>
        <v>1503.4</v>
      </c>
      <c r="E167" s="30">
        <f>MAX(Dashboard!$J$16,(Dashboard!$I$16*Fundo!W166)/360)/30</f>
        <v>500</v>
      </c>
      <c r="F167" s="30">
        <f>MAX(Dashboard!$J$15,(Dashboard!$I$15*Fundo!W166)/360)/30</f>
        <v>500</v>
      </c>
      <c r="G167" s="81">
        <f>Fundo!R166*Dashboard!$I$14</f>
        <v>503.40000000000003</v>
      </c>
      <c r="H167" s="30">
        <v>0</v>
      </c>
      <c r="I167" s="15"/>
    </row>
    <row r="168" spans="2:9" x14ac:dyDescent="0.25">
      <c r="B168" s="7">
        <v>164</v>
      </c>
      <c r="C168" s="51">
        <f t="shared" si="5"/>
        <v>46337</v>
      </c>
      <c r="D168" s="46">
        <f t="shared" si="4"/>
        <v>1503.4</v>
      </c>
      <c r="E168" s="30">
        <f>MAX(Dashboard!$J$16,(Dashboard!$I$16*Fundo!W167)/360)/30</f>
        <v>500</v>
      </c>
      <c r="F168" s="30">
        <f>MAX(Dashboard!$J$15,(Dashboard!$I$15*Fundo!W167)/360)/30</f>
        <v>500</v>
      </c>
      <c r="G168" s="81">
        <f>Fundo!R167*Dashboard!$I$14</f>
        <v>503.40000000000003</v>
      </c>
      <c r="H168" s="30">
        <v>0</v>
      </c>
      <c r="I168" s="15"/>
    </row>
    <row r="169" spans="2:9" x14ac:dyDescent="0.25">
      <c r="B169" s="7">
        <v>165</v>
      </c>
      <c r="C169" s="51">
        <f t="shared" si="5"/>
        <v>46338</v>
      </c>
      <c r="D169" s="46">
        <f t="shared" si="4"/>
        <v>1503.4</v>
      </c>
      <c r="E169" s="30">
        <f>MAX(Dashboard!$J$16,(Dashboard!$I$16*Fundo!W168)/360)/30</f>
        <v>500</v>
      </c>
      <c r="F169" s="30">
        <f>MAX(Dashboard!$J$15,(Dashboard!$I$15*Fundo!W168)/360)/30</f>
        <v>500</v>
      </c>
      <c r="G169" s="81">
        <f>Fundo!R168*Dashboard!$I$14</f>
        <v>503.40000000000003</v>
      </c>
      <c r="H169" s="30">
        <v>0</v>
      </c>
      <c r="I169" s="15"/>
    </row>
    <row r="170" spans="2:9" x14ac:dyDescent="0.25">
      <c r="B170" s="7">
        <v>166</v>
      </c>
      <c r="C170" s="51">
        <f t="shared" si="5"/>
        <v>46339</v>
      </c>
      <c r="D170" s="46">
        <f t="shared" si="4"/>
        <v>1503.4</v>
      </c>
      <c r="E170" s="30">
        <f>MAX(Dashboard!$J$16,(Dashboard!$I$16*Fundo!W169)/360)/30</f>
        <v>500</v>
      </c>
      <c r="F170" s="30">
        <f>MAX(Dashboard!$J$15,(Dashboard!$I$15*Fundo!W169)/360)/30</f>
        <v>500</v>
      </c>
      <c r="G170" s="81">
        <f>Fundo!R169*Dashboard!$I$14</f>
        <v>503.40000000000003</v>
      </c>
      <c r="H170" s="30">
        <v>0</v>
      </c>
      <c r="I170" s="15"/>
    </row>
    <row r="171" spans="2:9" x14ac:dyDescent="0.25">
      <c r="B171" s="7">
        <v>167</v>
      </c>
      <c r="C171" s="51">
        <f t="shared" si="5"/>
        <v>46340</v>
      </c>
      <c r="D171" s="46">
        <f t="shared" si="4"/>
        <v>1503.4</v>
      </c>
      <c r="E171" s="30">
        <f>MAX(Dashboard!$J$16,(Dashboard!$I$16*Fundo!W170)/360)/30</f>
        <v>500</v>
      </c>
      <c r="F171" s="30">
        <f>MAX(Dashboard!$J$15,(Dashboard!$I$15*Fundo!W170)/360)/30</f>
        <v>500</v>
      </c>
      <c r="G171" s="81">
        <f>Fundo!R170*Dashboard!$I$14</f>
        <v>503.40000000000003</v>
      </c>
      <c r="H171" s="30">
        <v>0</v>
      </c>
      <c r="I171" s="15"/>
    </row>
    <row r="172" spans="2:9" x14ac:dyDescent="0.25">
      <c r="B172" s="7">
        <v>168</v>
      </c>
      <c r="C172" s="51">
        <f t="shared" si="5"/>
        <v>46341</v>
      </c>
      <c r="D172" s="46">
        <f t="shared" si="4"/>
        <v>1503.4</v>
      </c>
      <c r="E172" s="30">
        <f>MAX(Dashboard!$J$16,(Dashboard!$I$16*Fundo!W171)/360)/30</f>
        <v>500</v>
      </c>
      <c r="F172" s="30">
        <f>MAX(Dashboard!$J$15,(Dashboard!$I$15*Fundo!W171)/360)/30</f>
        <v>500</v>
      </c>
      <c r="G172" s="81">
        <f>Fundo!R171*Dashboard!$I$14</f>
        <v>503.40000000000003</v>
      </c>
      <c r="H172" s="30">
        <v>0</v>
      </c>
      <c r="I172" s="15"/>
    </row>
    <row r="173" spans="2:9" x14ac:dyDescent="0.25">
      <c r="B173" s="7">
        <v>169</v>
      </c>
      <c r="C173" s="51">
        <f t="shared" si="5"/>
        <v>46342</v>
      </c>
      <c r="D173" s="46">
        <f t="shared" si="4"/>
        <v>1503.4</v>
      </c>
      <c r="E173" s="30">
        <f>MAX(Dashboard!$J$16,(Dashboard!$I$16*Fundo!W172)/360)/30</f>
        <v>500</v>
      </c>
      <c r="F173" s="30">
        <f>MAX(Dashboard!$J$15,(Dashboard!$I$15*Fundo!W172)/360)/30</f>
        <v>500</v>
      </c>
      <c r="G173" s="81">
        <f>Fundo!R172*Dashboard!$I$14</f>
        <v>503.40000000000003</v>
      </c>
      <c r="H173" s="30">
        <v>0</v>
      </c>
      <c r="I173" s="15"/>
    </row>
    <row r="174" spans="2:9" x14ac:dyDescent="0.25">
      <c r="B174" s="7">
        <v>170</v>
      </c>
      <c r="C174" s="51">
        <f t="shared" si="5"/>
        <v>46343</v>
      </c>
      <c r="D174" s="46">
        <f t="shared" si="4"/>
        <v>1503.4</v>
      </c>
      <c r="E174" s="30">
        <f>MAX(Dashboard!$J$16,(Dashboard!$I$16*Fundo!W173)/360)/30</f>
        <v>500</v>
      </c>
      <c r="F174" s="30">
        <f>MAX(Dashboard!$J$15,(Dashboard!$I$15*Fundo!W173)/360)/30</f>
        <v>500</v>
      </c>
      <c r="G174" s="81">
        <f>Fundo!R173*Dashboard!$I$14</f>
        <v>503.40000000000003</v>
      </c>
      <c r="H174" s="30">
        <v>0</v>
      </c>
      <c r="I174" s="15"/>
    </row>
    <row r="175" spans="2:9" x14ac:dyDescent="0.25">
      <c r="B175" s="7">
        <v>171</v>
      </c>
      <c r="C175" s="51">
        <f t="shared" si="5"/>
        <v>46344</v>
      </c>
      <c r="D175" s="46">
        <f t="shared" si="4"/>
        <v>1503.4</v>
      </c>
      <c r="E175" s="30">
        <f>MAX(Dashboard!$J$16,(Dashboard!$I$16*Fundo!W174)/360)/30</f>
        <v>500</v>
      </c>
      <c r="F175" s="30">
        <f>MAX(Dashboard!$J$15,(Dashboard!$I$15*Fundo!W174)/360)/30</f>
        <v>500</v>
      </c>
      <c r="G175" s="81">
        <f>Fundo!R174*Dashboard!$I$14</f>
        <v>503.40000000000003</v>
      </c>
      <c r="H175" s="30">
        <v>0</v>
      </c>
      <c r="I175" s="15"/>
    </row>
    <row r="176" spans="2:9" x14ac:dyDescent="0.25">
      <c r="B176" s="7">
        <v>172</v>
      </c>
      <c r="C176" s="51">
        <f t="shared" si="5"/>
        <v>46345</v>
      </c>
      <c r="D176" s="46">
        <f t="shared" si="4"/>
        <v>1503.4</v>
      </c>
      <c r="E176" s="30">
        <f>MAX(Dashboard!$J$16,(Dashboard!$I$16*Fundo!W175)/360)/30</f>
        <v>500</v>
      </c>
      <c r="F176" s="30">
        <f>MAX(Dashboard!$J$15,(Dashboard!$I$15*Fundo!W175)/360)/30</f>
        <v>500</v>
      </c>
      <c r="G176" s="81">
        <f>Fundo!R175*Dashboard!$I$14</f>
        <v>503.40000000000003</v>
      </c>
      <c r="H176" s="30">
        <v>0</v>
      </c>
      <c r="I176" s="15"/>
    </row>
    <row r="177" spans="2:9" x14ac:dyDescent="0.25">
      <c r="B177" s="7">
        <v>173</v>
      </c>
      <c r="C177" s="51">
        <f t="shared" si="5"/>
        <v>46346</v>
      </c>
      <c r="D177" s="46">
        <f t="shared" si="4"/>
        <v>1503.4</v>
      </c>
      <c r="E177" s="30">
        <f>MAX(Dashboard!$J$16,(Dashboard!$I$16*Fundo!W176)/360)/30</f>
        <v>500</v>
      </c>
      <c r="F177" s="30">
        <f>MAX(Dashboard!$J$15,(Dashboard!$I$15*Fundo!W176)/360)/30</f>
        <v>500</v>
      </c>
      <c r="G177" s="81">
        <f>Fundo!R176*Dashboard!$I$14</f>
        <v>503.40000000000003</v>
      </c>
      <c r="H177" s="30">
        <v>0</v>
      </c>
      <c r="I177" s="15"/>
    </row>
    <row r="178" spans="2:9" x14ac:dyDescent="0.25">
      <c r="B178" s="7">
        <v>174</v>
      </c>
      <c r="C178" s="51">
        <f t="shared" si="5"/>
        <v>46347</v>
      </c>
      <c r="D178" s="46">
        <f t="shared" si="4"/>
        <v>1503.4</v>
      </c>
      <c r="E178" s="30">
        <f>MAX(Dashboard!$J$16,(Dashboard!$I$16*Fundo!W177)/360)/30</f>
        <v>500</v>
      </c>
      <c r="F178" s="30">
        <f>MAX(Dashboard!$J$15,(Dashboard!$I$15*Fundo!W177)/360)/30</f>
        <v>500</v>
      </c>
      <c r="G178" s="81">
        <f>Fundo!R177*Dashboard!$I$14</f>
        <v>503.40000000000003</v>
      </c>
      <c r="H178" s="30">
        <v>0</v>
      </c>
      <c r="I178" s="15"/>
    </row>
    <row r="179" spans="2:9" x14ac:dyDescent="0.25">
      <c r="B179" s="7">
        <v>175</v>
      </c>
      <c r="C179" s="51">
        <f t="shared" si="5"/>
        <v>46348</v>
      </c>
      <c r="D179" s="46">
        <f t="shared" si="4"/>
        <v>1503.4</v>
      </c>
      <c r="E179" s="30">
        <f>MAX(Dashboard!$J$16,(Dashboard!$I$16*Fundo!W178)/360)/30</f>
        <v>500</v>
      </c>
      <c r="F179" s="30">
        <f>MAX(Dashboard!$J$15,(Dashboard!$I$15*Fundo!W178)/360)/30</f>
        <v>500</v>
      </c>
      <c r="G179" s="81">
        <f>Fundo!R178*Dashboard!$I$14</f>
        <v>503.40000000000003</v>
      </c>
      <c r="H179" s="30">
        <v>0</v>
      </c>
      <c r="I179" s="15"/>
    </row>
    <row r="180" spans="2:9" x14ac:dyDescent="0.25">
      <c r="B180" s="7">
        <v>176</v>
      </c>
      <c r="C180" s="51">
        <f t="shared" si="5"/>
        <v>46349</v>
      </c>
      <c r="D180" s="46">
        <f t="shared" si="4"/>
        <v>1503.4</v>
      </c>
      <c r="E180" s="30">
        <f>MAX(Dashboard!$J$16,(Dashboard!$I$16*Fundo!W179)/360)/30</f>
        <v>500</v>
      </c>
      <c r="F180" s="30">
        <f>MAX(Dashboard!$J$15,(Dashboard!$I$15*Fundo!W179)/360)/30</f>
        <v>500</v>
      </c>
      <c r="G180" s="81">
        <f>Fundo!R179*Dashboard!$I$14</f>
        <v>503.40000000000003</v>
      </c>
      <c r="H180" s="30">
        <v>0</v>
      </c>
      <c r="I180" s="15"/>
    </row>
    <row r="181" spans="2:9" x14ac:dyDescent="0.25">
      <c r="B181" s="7">
        <v>177</v>
      </c>
      <c r="C181" s="51">
        <f t="shared" si="5"/>
        <v>46350</v>
      </c>
      <c r="D181" s="46">
        <f t="shared" si="4"/>
        <v>1503.4</v>
      </c>
      <c r="E181" s="30">
        <f>MAX(Dashboard!$J$16,(Dashboard!$I$16*Fundo!W180)/360)/30</f>
        <v>500</v>
      </c>
      <c r="F181" s="30">
        <f>MAX(Dashboard!$J$15,(Dashboard!$I$15*Fundo!W180)/360)/30</f>
        <v>500</v>
      </c>
      <c r="G181" s="81">
        <f>Fundo!R180*Dashboard!$I$14</f>
        <v>503.40000000000003</v>
      </c>
      <c r="H181" s="30">
        <v>0</v>
      </c>
      <c r="I181" s="15"/>
    </row>
    <row r="182" spans="2:9" x14ac:dyDescent="0.25">
      <c r="B182" s="7">
        <v>178</v>
      </c>
      <c r="C182" s="51">
        <f t="shared" si="5"/>
        <v>46351</v>
      </c>
      <c r="D182" s="46">
        <f t="shared" si="4"/>
        <v>1503.4</v>
      </c>
      <c r="E182" s="30">
        <f>MAX(Dashboard!$J$16,(Dashboard!$I$16*Fundo!W181)/360)/30</f>
        <v>500</v>
      </c>
      <c r="F182" s="30">
        <f>MAX(Dashboard!$J$15,(Dashboard!$I$15*Fundo!W181)/360)/30</f>
        <v>500</v>
      </c>
      <c r="G182" s="81">
        <f>Fundo!R181*Dashboard!$I$14</f>
        <v>503.40000000000003</v>
      </c>
      <c r="H182" s="30">
        <v>0</v>
      </c>
      <c r="I182" s="15"/>
    </row>
    <row r="183" spans="2:9" x14ac:dyDescent="0.25">
      <c r="B183" s="7">
        <v>179</v>
      </c>
      <c r="C183" s="51">
        <f t="shared" si="5"/>
        <v>46352</v>
      </c>
      <c r="D183" s="46">
        <f t="shared" si="4"/>
        <v>1503.4</v>
      </c>
      <c r="E183" s="30">
        <f>MAX(Dashboard!$J$16,(Dashboard!$I$16*Fundo!W182)/360)/30</f>
        <v>500</v>
      </c>
      <c r="F183" s="30">
        <f>MAX(Dashboard!$J$15,(Dashboard!$I$15*Fundo!W182)/360)/30</f>
        <v>500</v>
      </c>
      <c r="G183" s="81">
        <f>Fundo!R182*Dashboard!$I$14</f>
        <v>503.40000000000003</v>
      </c>
      <c r="H183" s="30">
        <v>0</v>
      </c>
      <c r="I183" s="15"/>
    </row>
    <row r="184" spans="2:9" x14ac:dyDescent="0.25">
      <c r="B184" s="7">
        <v>180</v>
      </c>
      <c r="C184" s="51">
        <f t="shared" si="5"/>
        <v>46353</v>
      </c>
      <c r="D184" s="46">
        <f t="shared" si="4"/>
        <v>1503.4</v>
      </c>
      <c r="E184" s="30">
        <f>MAX(Dashboard!$J$16,(Dashboard!$I$16*Fundo!W183)/360)/30</f>
        <v>500</v>
      </c>
      <c r="F184" s="30">
        <f>MAX(Dashboard!$J$15,(Dashboard!$I$15*Fundo!W183)/360)/30</f>
        <v>500</v>
      </c>
      <c r="G184" s="81">
        <f>Fundo!R183*Dashboard!$I$14</f>
        <v>503.40000000000003</v>
      </c>
      <c r="H184" s="30">
        <v>0</v>
      </c>
      <c r="I184" s="15"/>
    </row>
    <row r="185" spans="2:9" x14ac:dyDescent="0.25">
      <c r="B185" s="7">
        <v>181</v>
      </c>
      <c r="C185" s="51">
        <f t="shared" si="5"/>
        <v>46354</v>
      </c>
      <c r="D185" s="46">
        <f t="shared" si="4"/>
        <v>1503.4</v>
      </c>
      <c r="E185" s="30">
        <f>MAX(Dashboard!$J$16,(Dashboard!$I$16*Fundo!W184)/360)/30</f>
        <v>500</v>
      </c>
      <c r="F185" s="30">
        <f>MAX(Dashboard!$J$15,(Dashboard!$I$15*Fundo!W184)/360)/30</f>
        <v>500</v>
      </c>
      <c r="G185" s="81">
        <f>Fundo!R184*Dashboard!$I$14</f>
        <v>503.40000000000003</v>
      </c>
      <c r="H185" s="30">
        <v>0</v>
      </c>
      <c r="I185" s="15"/>
    </row>
    <row r="186" spans="2:9" x14ac:dyDescent="0.25">
      <c r="B186" s="7">
        <v>182</v>
      </c>
      <c r="C186" s="51">
        <f t="shared" si="5"/>
        <v>46355</v>
      </c>
      <c r="D186" s="46">
        <f t="shared" si="4"/>
        <v>1503.4</v>
      </c>
      <c r="E186" s="30">
        <f>MAX(Dashboard!$J$16,(Dashboard!$I$16*Fundo!W185)/360)/30</f>
        <v>500</v>
      </c>
      <c r="F186" s="30">
        <f>MAX(Dashboard!$J$15,(Dashboard!$I$15*Fundo!W185)/360)/30</f>
        <v>500</v>
      </c>
      <c r="G186" s="81">
        <f>Fundo!R185*Dashboard!$I$14</f>
        <v>503.40000000000003</v>
      </c>
      <c r="H186" s="30">
        <v>0</v>
      </c>
      <c r="I186" s="15"/>
    </row>
    <row r="187" spans="2:9" x14ac:dyDescent="0.25">
      <c r="B187" s="7">
        <v>183</v>
      </c>
      <c r="C187" s="51">
        <f t="shared" si="5"/>
        <v>46356</v>
      </c>
      <c r="D187" s="46">
        <f t="shared" si="4"/>
        <v>1503.4</v>
      </c>
      <c r="E187" s="30">
        <f>MAX(Dashboard!$J$16,(Dashboard!$I$16*Fundo!W186)/360)/30</f>
        <v>500</v>
      </c>
      <c r="F187" s="30">
        <f>MAX(Dashboard!$J$15,(Dashboard!$I$15*Fundo!W186)/360)/30</f>
        <v>500</v>
      </c>
      <c r="G187" s="81">
        <f>Fundo!R186*Dashboard!$I$14</f>
        <v>503.40000000000003</v>
      </c>
      <c r="H187" s="30">
        <v>0</v>
      </c>
      <c r="I187" s="15"/>
    </row>
    <row r="188" spans="2:9" x14ac:dyDescent="0.25">
      <c r="B188" s="7">
        <v>184</v>
      </c>
      <c r="C188" s="51">
        <f t="shared" si="5"/>
        <v>46357</v>
      </c>
      <c r="D188" s="46">
        <f t="shared" si="4"/>
        <v>1503.4</v>
      </c>
      <c r="E188" s="30">
        <f>MAX(Dashboard!$J$16,(Dashboard!$I$16*Fundo!W187)/360)/30</f>
        <v>500</v>
      </c>
      <c r="F188" s="30">
        <f>MAX(Dashboard!$J$15,(Dashboard!$I$15*Fundo!W187)/360)/30</f>
        <v>500</v>
      </c>
      <c r="G188" s="81">
        <f>Fundo!R187*Dashboard!$I$14</f>
        <v>503.40000000000003</v>
      </c>
      <c r="H188" s="30">
        <v>0</v>
      </c>
      <c r="I188" s="15"/>
    </row>
    <row r="189" spans="2:9" x14ac:dyDescent="0.25">
      <c r="B189" s="7">
        <v>185</v>
      </c>
      <c r="C189" s="51">
        <f t="shared" si="5"/>
        <v>46358</v>
      </c>
      <c r="D189" s="46">
        <f t="shared" si="4"/>
        <v>1503.4</v>
      </c>
      <c r="E189" s="30">
        <f>MAX(Dashboard!$J$16,(Dashboard!$I$16*Fundo!W188)/360)/30</f>
        <v>500</v>
      </c>
      <c r="F189" s="30">
        <f>MAX(Dashboard!$J$15,(Dashboard!$I$15*Fundo!W188)/360)/30</f>
        <v>500</v>
      </c>
      <c r="G189" s="81">
        <f>Fundo!R188*Dashboard!$I$14</f>
        <v>503.40000000000003</v>
      </c>
      <c r="H189" s="30">
        <v>0</v>
      </c>
      <c r="I189" s="15"/>
    </row>
    <row r="190" spans="2:9" x14ac:dyDescent="0.25">
      <c r="B190" s="7">
        <v>186</v>
      </c>
      <c r="C190" s="51">
        <f t="shared" si="5"/>
        <v>46359</v>
      </c>
      <c r="D190" s="46">
        <f t="shared" si="4"/>
        <v>1503.4</v>
      </c>
      <c r="E190" s="30">
        <f>MAX(Dashboard!$J$16,(Dashboard!$I$16*Fundo!W189)/360)/30</f>
        <v>500</v>
      </c>
      <c r="F190" s="30">
        <f>MAX(Dashboard!$J$15,(Dashboard!$I$15*Fundo!W189)/360)/30</f>
        <v>500</v>
      </c>
      <c r="G190" s="81">
        <f>Fundo!R189*Dashboard!$I$14</f>
        <v>503.40000000000003</v>
      </c>
      <c r="H190" s="30">
        <v>0</v>
      </c>
      <c r="I190" s="15"/>
    </row>
    <row r="191" spans="2:9" x14ac:dyDescent="0.25">
      <c r="B191" s="7">
        <v>187</v>
      </c>
      <c r="C191" s="51">
        <f t="shared" si="5"/>
        <v>46360</v>
      </c>
      <c r="D191" s="46">
        <f t="shared" si="4"/>
        <v>1503.4</v>
      </c>
      <c r="E191" s="30">
        <f>MAX(Dashboard!$J$16,(Dashboard!$I$16*Fundo!W190)/360)/30</f>
        <v>500</v>
      </c>
      <c r="F191" s="30">
        <f>MAX(Dashboard!$J$15,(Dashboard!$I$15*Fundo!W190)/360)/30</f>
        <v>500</v>
      </c>
      <c r="G191" s="81">
        <f>Fundo!R190*Dashboard!$I$14</f>
        <v>503.40000000000003</v>
      </c>
      <c r="H191" s="30">
        <v>0</v>
      </c>
      <c r="I191" s="15"/>
    </row>
    <row r="192" spans="2:9" x14ac:dyDescent="0.25">
      <c r="B192" s="7">
        <v>188</v>
      </c>
      <c r="C192" s="51">
        <f t="shared" si="5"/>
        <v>46361</v>
      </c>
      <c r="D192" s="46">
        <f t="shared" ref="D192:D255" si="6">E192+F192+G192+H192+I192</f>
        <v>1503.4</v>
      </c>
      <c r="E192" s="30">
        <f>MAX(Dashboard!$J$16,(Dashboard!$I$16*Fundo!W191)/360)/30</f>
        <v>500</v>
      </c>
      <c r="F192" s="30">
        <f>MAX(Dashboard!$J$15,(Dashboard!$I$15*Fundo!W191)/360)/30</f>
        <v>500</v>
      </c>
      <c r="G192" s="81">
        <f>Fundo!R191*Dashboard!$I$14</f>
        <v>503.40000000000003</v>
      </c>
      <c r="H192" s="30">
        <v>0</v>
      </c>
      <c r="I192" s="15"/>
    </row>
    <row r="193" spans="2:9" x14ac:dyDescent="0.25">
      <c r="B193" s="7">
        <v>189</v>
      </c>
      <c r="C193" s="51">
        <f t="shared" si="5"/>
        <v>46362</v>
      </c>
      <c r="D193" s="46">
        <f t="shared" si="6"/>
        <v>1503.4</v>
      </c>
      <c r="E193" s="30">
        <f>MAX(Dashboard!$J$16,(Dashboard!$I$16*Fundo!W192)/360)/30</f>
        <v>500</v>
      </c>
      <c r="F193" s="30">
        <f>MAX(Dashboard!$J$15,(Dashboard!$I$15*Fundo!W192)/360)/30</f>
        <v>500</v>
      </c>
      <c r="G193" s="81">
        <f>Fundo!R192*Dashboard!$I$14</f>
        <v>503.40000000000003</v>
      </c>
      <c r="H193" s="30">
        <v>0</v>
      </c>
      <c r="I193" s="15"/>
    </row>
    <row r="194" spans="2:9" x14ac:dyDescent="0.25">
      <c r="B194" s="7">
        <v>190</v>
      </c>
      <c r="C194" s="51">
        <f t="shared" si="5"/>
        <v>46363</v>
      </c>
      <c r="D194" s="46">
        <f t="shared" si="6"/>
        <v>1503.4</v>
      </c>
      <c r="E194" s="30">
        <f>MAX(Dashboard!$J$16,(Dashboard!$I$16*Fundo!W193)/360)/30</f>
        <v>500</v>
      </c>
      <c r="F194" s="30">
        <f>MAX(Dashboard!$J$15,(Dashboard!$I$15*Fundo!W193)/360)/30</f>
        <v>500</v>
      </c>
      <c r="G194" s="81">
        <f>Fundo!R193*Dashboard!$I$14</f>
        <v>503.40000000000003</v>
      </c>
      <c r="H194" s="30">
        <v>0</v>
      </c>
      <c r="I194" s="15"/>
    </row>
    <row r="195" spans="2:9" x14ac:dyDescent="0.25">
      <c r="B195" s="7">
        <v>191</v>
      </c>
      <c r="C195" s="51">
        <f t="shared" si="5"/>
        <v>46364</v>
      </c>
      <c r="D195" s="46">
        <f t="shared" si="6"/>
        <v>1503.4</v>
      </c>
      <c r="E195" s="30">
        <f>MAX(Dashboard!$J$16,(Dashboard!$I$16*Fundo!W194)/360)/30</f>
        <v>500</v>
      </c>
      <c r="F195" s="30">
        <f>MAX(Dashboard!$J$15,(Dashboard!$I$15*Fundo!W194)/360)/30</f>
        <v>500</v>
      </c>
      <c r="G195" s="81">
        <f>Fundo!R194*Dashboard!$I$14</f>
        <v>503.40000000000003</v>
      </c>
      <c r="H195" s="30">
        <v>0</v>
      </c>
      <c r="I195" s="15"/>
    </row>
    <row r="196" spans="2:9" x14ac:dyDescent="0.25">
      <c r="B196" s="7">
        <v>192</v>
      </c>
      <c r="C196" s="51">
        <f t="shared" si="5"/>
        <v>46365</v>
      </c>
      <c r="D196" s="46">
        <f t="shared" si="6"/>
        <v>1503.4</v>
      </c>
      <c r="E196" s="30">
        <f>MAX(Dashboard!$J$16,(Dashboard!$I$16*Fundo!W195)/360)/30</f>
        <v>500</v>
      </c>
      <c r="F196" s="30">
        <f>MAX(Dashboard!$J$15,(Dashboard!$I$15*Fundo!W195)/360)/30</f>
        <v>500</v>
      </c>
      <c r="G196" s="81">
        <f>Fundo!R195*Dashboard!$I$14</f>
        <v>503.40000000000003</v>
      </c>
      <c r="H196" s="30">
        <v>0</v>
      </c>
      <c r="I196" s="15"/>
    </row>
    <row r="197" spans="2:9" x14ac:dyDescent="0.25">
      <c r="B197" s="7">
        <v>193</v>
      </c>
      <c r="C197" s="51">
        <f t="shared" si="5"/>
        <v>46366</v>
      </c>
      <c r="D197" s="46">
        <f t="shared" si="6"/>
        <v>1503.4</v>
      </c>
      <c r="E197" s="30">
        <f>MAX(Dashboard!$J$16,(Dashboard!$I$16*Fundo!W196)/360)/30</f>
        <v>500</v>
      </c>
      <c r="F197" s="30">
        <f>MAX(Dashboard!$J$15,(Dashboard!$I$15*Fundo!W196)/360)/30</f>
        <v>500</v>
      </c>
      <c r="G197" s="81">
        <f>Fundo!R196*Dashboard!$I$14</f>
        <v>503.40000000000003</v>
      </c>
      <c r="H197" s="30">
        <v>0</v>
      </c>
      <c r="I197" s="15"/>
    </row>
    <row r="198" spans="2:9" x14ac:dyDescent="0.25">
      <c r="B198" s="7">
        <v>194</v>
      </c>
      <c r="C198" s="51">
        <f t="shared" si="5"/>
        <v>46367</v>
      </c>
      <c r="D198" s="46">
        <f t="shared" si="6"/>
        <v>1503.4</v>
      </c>
      <c r="E198" s="30">
        <f>MAX(Dashboard!$J$16,(Dashboard!$I$16*Fundo!W197)/360)/30</f>
        <v>500</v>
      </c>
      <c r="F198" s="30">
        <f>MAX(Dashboard!$J$15,(Dashboard!$I$15*Fundo!W197)/360)/30</f>
        <v>500</v>
      </c>
      <c r="G198" s="81">
        <f>Fundo!R197*Dashboard!$I$14</f>
        <v>503.40000000000003</v>
      </c>
      <c r="H198" s="30">
        <v>0</v>
      </c>
      <c r="I198" s="15"/>
    </row>
    <row r="199" spans="2:9" x14ac:dyDescent="0.25">
      <c r="B199" s="7">
        <v>195</v>
      </c>
      <c r="C199" s="51">
        <f t="shared" ref="C199:C262" si="7">C198+1</f>
        <v>46368</v>
      </c>
      <c r="D199" s="46">
        <f t="shared" si="6"/>
        <v>1503.4</v>
      </c>
      <c r="E199" s="30">
        <f>MAX(Dashboard!$J$16,(Dashboard!$I$16*Fundo!W198)/360)/30</f>
        <v>500</v>
      </c>
      <c r="F199" s="30">
        <f>MAX(Dashboard!$J$15,(Dashboard!$I$15*Fundo!W198)/360)/30</f>
        <v>500</v>
      </c>
      <c r="G199" s="81">
        <f>Fundo!R198*Dashboard!$I$14</f>
        <v>503.40000000000003</v>
      </c>
      <c r="H199" s="30">
        <v>0</v>
      </c>
      <c r="I199" s="15"/>
    </row>
    <row r="200" spans="2:9" x14ac:dyDescent="0.25">
      <c r="B200" s="7">
        <v>196</v>
      </c>
      <c r="C200" s="51">
        <f t="shared" si="7"/>
        <v>46369</v>
      </c>
      <c r="D200" s="46">
        <f t="shared" si="6"/>
        <v>1503.4</v>
      </c>
      <c r="E200" s="30">
        <f>MAX(Dashboard!$J$16,(Dashboard!$I$16*Fundo!W199)/360)/30</f>
        <v>500</v>
      </c>
      <c r="F200" s="30">
        <f>MAX(Dashboard!$J$15,(Dashboard!$I$15*Fundo!W199)/360)/30</f>
        <v>500</v>
      </c>
      <c r="G200" s="81">
        <f>Fundo!R199*Dashboard!$I$14</f>
        <v>503.40000000000003</v>
      </c>
      <c r="H200" s="30">
        <v>0</v>
      </c>
      <c r="I200" s="15"/>
    </row>
    <row r="201" spans="2:9" x14ac:dyDescent="0.25">
      <c r="B201" s="7">
        <v>197</v>
      </c>
      <c r="C201" s="51">
        <f t="shared" si="7"/>
        <v>46370</v>
      </c>
      <c r="D201" s="46">
        <f t="shared" si="6"/>
        <v>1503.4</v>
      </c>
      <c r="E201" s="30">
        <f>MAX(Dashboard!$J$16,(Dashboard!$I$16*Fundo!W200)/360)/30</f>
        <v>500</v>
      </c>
      <c r="F201" s="30">
        <f>MAX(Dashboard!$J$15,(Dashboard!$I$15*Fundo!W200)/360)/30</f>
        <v>500</v>
      </c>
      <c r="G201" s="81">
        <f>Fundo!R200*Dashboard!$I$14</f>
        <v>503.40000000000003</v>
      </c>
      <c r="H201" s="30">
        <v>0</v>
      </c>
      <c r="I201" s="15"/>
    </row>
    <row r="202" spans="2:9" x14ac:dyDescent="0.25">
      <c r="B202" s="7">
        <v>198</v>
      </c>
      <c r="C202" s="51">
        <f t="shared" si="7"/>
        <v>46371</v>
      </c>
      <c r="D202" s="46">
        <f t="shared" si="6"/>
        <v>1503.4</v>
      </c>
      <c r="E202" s="30">
        <f>MAX(Dashboard!$J$16,(Dashboard!$I$16*Fundo!W201)/360)/30</f>
        <v>500</v>
      </c>
      <c r="F202" s="30">
        <f>MAX(Dashboard!$J$15,(Dashboard!$I$15*Fundo!W201)/360)/30</f>
        <v>500</v>
      </c>
      <c r="G202" s="81">
        <f>Fundo!R201*Dashboard!$I$14</f>
        <v>503.40000000000003</v>
      </c>
      <c r="H202" s="30">
        <v>0</v>
      </c>
      <c r="I202" s="15"/>
    </row>
    <row r="203" spans="2:9" x14ac:dyDescent="0.25">
      <c r="B203" s="7">
        <v>199</v>
      </c>
      <c r="C203" s="51">
        <f t="shared" si="7"/>
        <v>46372</v>
      </c>
      <c r="D203" s="46">
        <f t="shared" si="6"/>
        <v>1503.4</v>
      </c>
      <c r="E203" s="30">
        <f>MAX(Dashboard!$J$16,(Dashboard!$I$16*Fundo!W202)/360)/30</f>
        <v>500</v>
      </c>
      <c r="F203" s="30">
        <f>MAX(Dashboard!$J$15,(Dashboard!$I$15*Fundo!W202)/360)/30</f>
        <v>500</v>
      </c>
      <c r="G203" s="81">
        <f>Fundo!R202*Dashboard!$I$14</f>
        <v>503.40000000000003</v>
      </c>
      <c r="H203" s="30">
        <v>0</v>
      </c>
      <c r="I203" s="15"/>
    </row>
    <row r="204" spans="2:9" x14ac:dyDescent="0.25">
      <c r="B204" s="7">
        <v>200</v>
      </c>
      <c r="C204" s="51">
        <f t="shared" si="7"/>
        <v>46373</v>
      </c>
      <c r="D204" s="46">
        <f t="shared" si="6"/>
        <v>1503.4</v>
      </c>
      <c r="E204" s="30">
        <f>MAX(Dashboard!$J$16,(Dashboard!$I$16*Fundo!W203)/360)/30</f>
        <v>500</v>
      </c>
      <c r="F204" s="30">
        <f>MAX(Dashboard!$J$15,(Dashboard!$I$15*Fundo!W203)/360)/30</f>
        <v>500</v>
      </c>
      <c r="G204" s="81">
        <f>Fundo!R203*Dashboard!$I$14</f>
        <v>503.40000000000003</v>
      </c>
      <c r="H204" s="30">
        <v>0</v>
      </c>
      <c r="I204" s="15"/>
    </row>
    <row r="205" spans="2:9" x14ac:dyDescent="0.25">
      <c r="B205" s="7">
        <v>201</v>
      </c>
      <c r="C205" s="51">
        <f t="shared" si="7"/>
        <v>46374</v>
      </c>
      <c r="D205" s="46">
        <f t="shared" si="6"/>
        <v>1503.4</v>
      </c>
      <c r="E205" s="30">
        <f>MAX(Dashboard!$J$16,(Dashboard!$I$16*Fundo!W204)/360)/30</f>
        <v>500</v>
      </c>
      <c r="F205" s="30">
        <f>MAX(Dashboard!$J$15,(Dashboard!$I$15*Fundo!W204)/360)/30</f>
        <v>500</v>
      </c>
      <c r="G205" s="81">
        <f>Fundo!R204*Dashboard!$I$14</f>
        <v>503.40000000000003</v>
      </c>
      <c r="H205" s="30">
        <v>0</v>
      </c>
      <c r="I205" s="15"/>
    </row>
    <row r="206" spans="2:9" x14ac:dyDescent="0.25">
      <c r="B206" s="7">
        <v>202</v>
      </c>
      <c r="C206" s="51">
        <f t="shared" si="7"/>
        <v>46375</v>
      </c>
      <c r="D206" s="46">
        <f t="shared" si="6"/>
        <v>1503.4</v>
      </c>
      <c r="E206" s="30">
        <f>MAX(Dashboard!$J$16,(Dashboard!$I$16*Fundo!W205)/360)/30</f>
        <v>500</v>
      </c>
      <c r="F206" s="30">
        <f>MAX(Dashboard!$J$15,(Dashboard!$I$15*Fundo!W205)/360)/30</f>
        <v>500</v>
      </c>
      <c r="G206" s="81">
        <f>Fundo!R205*Dashboard!$I$14</f>
        <v>503.40000000000003</v>
      </c>
      <c r="H206" s="30">
        <v>0</v>
      </c>
      <c r="I206" s="15"/>
    </row>
    <row r="207" spans="2:9" x14ac:dyDescent="0.25">
      <c r="B207" s="7">
        <v>203</v>
      </c>
      <c r="C207" s="51">
        <f t="shared" si="7"/>
        <v>46376</v>
      </c>
      <c r="D207" s="46">
        <f t="shared" si="6"/>
        <v>1503.4</v>
      </c>
      <c r="E207" s="30">
        <f>MAX(Dashboard!$J$16,(Dashboard!$I$16*Fundo!W206)/360)/30</f>
        <v>500</v>
      </c>
      <c r="F207" s="30">
        <f>MAX(Dashboard!$J$15,(Dashboard!$I$15*Fundo!W206)/360)/30</f>
        <v>500</v>
      </c>
      <c r="G207" s="81">
        <f>Fundo!R206*Dashboard!$I$14</f>
        <v>503.40000000000003</v>
      </c>
      <c r="H207" s="30">
        <v>0</v>
      </c>
      <c r="I207" s="15"/>
    </row>
    <row r="208" spans="2:9" x14ac:dyDescent="0.25">
      <c r="B208" s="7">
        <v>204</v>
      </c>
      <c r="C208" s="51">
        <f t="shared" si="7"/>
        <v>46377</v>
      </c>
      <c r="D208" s="46">
        <f t="shared" si="6"/>
        <v>1503.4</v>
      </c>
      <c r="E208" s="30">
        <f>MAX(Dashboard!$J$16,(Dashboard!$I$16*Fundo!W207)/360)/30</f>
        <v>500</v>
      </c>
      <c r="F208" s="30">
        <f>MAX(Dashboard!$J$15,(Dashboard!$I$15*Fundo!W207)/360)/30</f>
        <v>500</v>
      </c>
      <c r="G208" s="81">
        <f>Fundo!R207*Dashboard!$I$14</f>
        <v>503.40000000000003</v>
      </c>
      <c r="H208" s="30">
        <v>0</v>
      </c>
      <c r="I208" s="15"/>
    </row>
    <row r="209" spans="2:9" x14ac:dyDescent="0.25">
      <c r="B209" s="7">
        <v>205</v>
      </c>
      <c r="C209" s="51">
        <f t="shared" si="7"/>
        <v>46378</v>
      </c>
      <c r="D209" s="46">
        <f t="shared" si="6"/>
        <v>1503.4</v>
      </c>
      <c r="E209" s="30">
        <f>MAX(Dashboard!$J$16,(Dashboard!$I$16*Fundo!W208)/360)/30</f>
        <v>500</v>
      </c>
      <c r="F209" s="30">
        <f>MAX(Dashboard!$J$15,(Dashboard!$I$15*Fundo!W208)/360)/30</f>
        <v>500</v>
      </c>
      <c r="G209" s="81">
        <f>Fundo!R208*Dashboard!$I$14</f>
        <v>503.40000000000003</v>
      </c>
      <c r="H209" s="30">
        <v>0</v>
      </c>
      <c r="I209" s="15"/>
    </row>
    <row r="210" spans="2:9" x14ac:dyDescent="0.25">
      <c r="B210" s="7">
        <v>206</v>
      </c>
      <c r="C210" s="51">
        <f t="shared" si="7"/>
        <v>46379</v>
      </c>
      <c r="D210" s="46">
        <f t="shared" si="6"/>
        <v>1503.4</v>
      </c>
      <c r="E210" s="30">
        <f>MAX(Dashboard!$J$16,(Dashboard!$I$16*Fundo!W209)/360)/30</f>
        <v>500</v>
      </c>
      <c r="F210" s="30">
        <f>MAX(Dashboard!$J$15,(Dashboard!$I$15*Fundo!W209)/360)/30</f>
        <v>500</v>
      </c>
      <c r="G210" s="81">
        <f>Fundo!R209*Dashboard!$I$14</f>
        <v>503.40000000000003</v>
      </c>
      <c r="H210" s="30">
        <v>0</v>
      </c>
      <c r="I210" s="15"/>
    </row>
    <row r="211" spans="2:9" x14ac:dyDescent="0.25">
      <c r="B211" s="7">
        <v>207</v>
      </c>
      <c r="C211" s="51">
        <f t="shared" si="7"/>
        <v>46380</v>
      </c>
      <c r="D211" s="46">
        <f t="shared" si="6"/>
        <v>1503.4</v>
      </c>
      <c r="E211" s="30">
        <f>MAX(Dashboard!$J$16,(Dashboard!$I$16*Fundo!W210)/360)/30</f>
        <v>500</v>
      </c>
      <c r="F211" s="30">
        <f>MAX(Dashboard!$J$15,(Dashboard!$I$15*Fundo!W210)/360)/30</f>
        <v>500</v>
      </c>
      <c r="G211" s="81">
        <f>Fundo!R210*Dashboard!$I$14</f>
        <v>503.40000000000003</v>
      </c>
      <c r="H211" s="30">
        <v>0</v>
      </c>
      <c r="I211" s="15"/>
    </row>
    <row r="212" spans="2:9" x14ac:dyDescent="0.25">
      <c r="B212" s="7">
        <v>208</v>
      </c>
      <c r="C212" s="51">
        <f t="shared" si="7"/>
        <v>46381</v>
      </c>
      <c r="D212" s="46">
        <f t="shared" si="6"/>
        <v>1503.4</v>
      </c>
      <c r="E212" s="30">
        <f>MAX(Dashboard!$J$16,(Dashboard!$I$16*Fundo!W211)/360)/30</f>
        <v>500</v>
      </c>
      <c r="F212" s="30">
        <f>MAX(Dashboard!$J$15,(Dashboard!$I$15*Fundo!W211)/360)/30</f>
        <v>500</v>
      </c>
      <c r="G212" s="81">
        <f>Fundo!R211*Dashboard!$I$14</f>
        <v>503.40000000000003</v>
      </c>
      <c r="H212" s="30">
        <v>0</v>
      </c>
      <c r="I212" s="15"/>
    </row>
    <row r="213" spans="2:9" x14ac:dyDescent="0.25">
      <c r="B213" s="7">
        <v>209</v>
      </c>
      <c r="C213" s="51">
        <f t="shared" si="7"/>
        <v>46382</v>
      </c>
      <c r="D213" s="46">
        <f t="shared" si="6"/>
        <v>1503.4</v>
      </c>
      <c r="E213" s="30">
        <f>MAX(Dashboard!$J$16,(Dashboard!$I$16*Fundo!W212)/360)/30</f>
        <v>500</v>
      </c>
      <c r="F213" s="30">
        <f>MAX(Dashboard!$J$15,(Dashboard!$I$15*Fundo!W212)/360)/30</f>
        <v>500</v>
      </c>
      <c r="G213" s="81">
        <f>Fundo!R212*Dashboard!$I$14</f>
        <v>503.40000000000003</v>
      </c>
      <c r="H213" s="30">
        <v>0</v>
      </c>
      <c r="I213" s="15"/>
    </row>
    <row r="214" spans="2:9" x14ac:dyDescent="0.25">
      <c r="B214" s="7">
        <v>210</v>
      </c>
      <c r="C214" s="51">
        <f t="shared" si="7"/>
        <v>46383</v>
      </c>
      <c r="D214" s="46">
        <f t="shared" si="6"/>
        <v>1503.4</v>
      </c>
      <c r="E214" s="30">
        <f>MAX(Dashboard!$J$16,(Dashboard!$I$16*Fundo!W213)/360)/30</f>
        <v>500</v>
      </c>
      <c r="F214" s="30">
        <f>MAX(Dashboard!$J$15,(Dashboard!$I$15*Fundo!W213)/360)/30</f>
        <v>500</v>
      </c>
      <c r="G214" s="81">
        <f>Fundo!R213*Dashboard!$I$14</f>
        <v>503.40000000000003</v>
      </c>
      <c r="H214" s="30">
        <v>0</v>
      </c>
      <c r="I214" s="15"/>
    </row>
    <row r="215" spans="2:9" x14ac:dyDescent="0.25">
      <c r="B215" s="7">
        <v>211</v>
      </c>
      <c r="C215" s="51">
        <f t="shared" si="7"/>
        <v>46384</v>
      </c>
      <c r="D215" s="46">
        <f t="shared" si="6"/>
        <v>1503.4</v>
      </c>
      <c r="E215" s="30">
        <f>MAX(Dashboard!$J$16,(Dashboard!$I$16*Fundo!W214)/360)/30</f>
        <v>500</v>
      </c>
      <c r="F215" s="30">
        <f>MAX(Dashboard!$J$15,(Dashboard!$I$15*Fundo!W214)/360)/30</f>
        <v>500</v>
      </c>
      <c r="G215" s="81">
        <f>Fundo!R214*Dashboard!$I$14</f>
        <v>503.40000000000003</v>
      </c>
      <c r="H215" s="30">
        <v>0</v>
      </c>
      <c r="I215" s="15"/>
    </row>
    <row r="216" spans="2:9" x14ac:dyDescent="0.25">
      <c r="B216" s="7">
        <v>212</v>
      </c>
      <c r="C216" s="51">
        <f t="shared" si="7"/>
        <v>46385</v>
      </c>
      <c r="D216" s="46">
        <f t="shared" si="6"/>
        <v>1503.4</v>
      </c>
      <c r="E216" s="30">
        <f>MAX(Dashboard!$J$16,(Dashboard!$I$16*Fundo!W215)/360)/30</f>
        <v>500</v>
      </c>
      <c r="F216" s="30">
        <f>MAX(Dashboard!$J$15,(Dashboard!$I$15*Fundo!W215)/360)/30</f>
        <v>500</v>
      </c>
      <c r="G216" s="81">
        <f>Fundo!R215*Dashboard!$I$14</f>
        <v>503.40000000000003</v>
      </c>
      <c r="H216" s="30">
        <v>0</v>
      </c>
      <c r="I216" s="15"/>
    </row>
    <row r="217" spans="2:9" x14ac:dyDescent="0.25">
      <c r="B217" s="7">
        <v>213</v>
      </c>
      <c r="C217" s="51">
        <f t="shared" si="7"/>
        <v>46386</v>
      </c>
      <c r="D217" s="46">
        <f t="shared" si="6"/>
        <v>1503.4</v>
      </c>
      <c r="E217" s="30">
        <f>MAX(Dashboard!$J$16,(Dashboard!$I$16*Fundo!W216)/360)/30</f>
        <v>500</v>
      </c>
      <c r="F217" s="30">
        <f>MAX(Dashboard!$J$15,(Dashboard!$I$15*Fundo!W216)/360)/30</f>
        <v>500</v>
      </c>
      <c r="G217" s="81">
        <f>Fundo!R216*Dashboard!$I$14</f>
        <v>503.40000000000003</v>
      </c>
      <c r="H217" s="30">
        <v>0</v>
      </c>
      <c r="I217" s="15"/>
    </row>
    <row r="218" spans="2:9" x14ac:dyDescent="0.25">
      <c r="B218" s="7">
        <v>214</v>
      </c>
      <c r="C218" s="51">
        <f t="shared" si="7"/>
        <v>46387</v>
      </c>
      <c r="D218" s="46">
        <f t="shared" si="6"/>
        <v>1503.4</v>
      </c>
      <c r="E218" s="30">
        <f>MAX(Dashboard!$J$16,(Dashboard!$I$16*Fundo!W217)/360)/30</f>
        <v>500</v>
      </c>
      <c r="F218" s="30">
        <f>MAX(Dashboard!$J$15,(Dashboard!$I$15*Fundo!W217)/360)/30</f>
        <v>500</v>
      </c>
      <c r="G218" s="81">
        <f>Fundo!R217*Dashboard!$I$14</f>
        <v>503.40000000000003</v>
      </c>
      <c r="H218" s="30">
        <v>0</v>
      </c>
      <c r="I218" s="15"/>
    </row>
    <row r="219" spans="2:9" x14ac:dyDescent="0.25">
      <c r="B219" s="7">
        <v>215</v>
      </c>
      <c r="C219" s="51">
        <f t="shared" si="7"/>
        <v>46388</v>
      </c>
      <c r="D219" s="46">
        <f t="shared" si="6"/>
        <v>1503.4</v>
      </c>
      <c r="E219" s="30">
        <f>MAX(Dashboard!$J$16,(Dashboard!$I$16*Fundo!W218)/360)/30</f>
        <v>500</v>
      </c>
      <c r="F219" s="30">
        <f>MAX(Dashboard!$J$15,(Dashboard!$I$15*Fundo!W218)/360)/30</f>
        <v>500</v>
      </c>
      <c r="G219" s="81">
        <f>Fundo!R218*Dashboard!$I$14</f>
        <v>503.40000000000003</v>
      </c>
      <c r="H219" s="30">
        <v>0</v>
      </c>
      <c r="I219" s="15"/>
    </row>
    <row r="220" spans="2:9" x14ac:dyDescent="0.25">
      <c r="B220" s="7">
        <v>216</v>
      </c>
      <c r="C220" s="51">
        <f t="shared" si="7"/>
        <v>46389</v>
      </c>
      <c r="D220" s="46">
        <f t="shared" si="6"/>
        <v>1503.4</v>
      </c>
      <c r="E220" s="30">
        <f>MAX(Dashboard!$J$16,(Dashboard!$I$16*Fundo!W219)/360)/30</f>
        <v>500</v>
      </c>
      <c r="F220" s="30">
        <f>MAX(Dashboard!$J$15,(Dashboard!$I$15*Fundo!W219)/360)/30</f>
        <v>500</v>
      </c>
      <c r="G220" s="81">
        <f>Fundo!R219*Dashboard!$I$14</f>
        <v>503.40000000000003</v>
      </c>
      <c r="H220" s="30">
        <v>0</v>
      </c>
      <c r="I220" s="15"/>
    </row>
    <row r="221" spans="2:9" x14ac:dyDescent="0.25">
      <c r="B221" s="7">
        <v>217</v>
      </c>
      <c r="C221" s="51">
        <f t="shared" si="7"/>
        <v>46390</v>
      </c>
      <c r="D221" s="46">
        <f t="shared" si="6"/>
        <v>1503.4</v>
      </c>
      <c r="E221" s="30">
        <f>MAX(Dashboard!$J$16,(Dashboard!$I$16*Fundo!W220)/360)/30</f>
        <v>500</v>
      </c>
      <c r="F221" s="30">
        <f>MAX(Dashboard!$J$15,(Dashboard!$I$15*Fundo!W220)/360)/30</f>
        <v>500</v>
      </c>
      <c r="G221" s="81">
        <f>Fundo!R220*Dashboard!$I$14</f>
        <v>503.40000000000003</v>
      </c>
      <c r="H221" s="30">
        <v>0</v>
      </c>
      <c r="I221" s="15"/>
    </row>
    <row r="222" spans="2:9" x14ac:dyDescent="0.25">
      <c r="B222" s="7">
        <v>218</v>
      </c>
      <c r="C222" s="51">
        <f t="shared" si="7"/>
        <v>46391</v>
      </c>
      <c r="D222" s="46">
        <f t="shared" si="6"/>
        <v>1503.4</v>
      </c>
      <c r="E222" s="30">
        <f>MAX(Dashboard!$J$16,(Dashboard!$I$16*Fundo!W221)/360)/30</f>
        <v>500</v>
      </c>
      <c r="F222" s="30">
        <f>MAX(Dashboard!$J$15,(Dashboard!$I$15*Fundo!W221)/360)/30</f>
        <v>500</v>
      </c>
      <c r="G222" s="81">
        <f>Fundo!R221*Dashboard!$I$14</f>
        <v>503.40000000000003</v>
      </c>
      <c r="H222" s="30">
        <v>0</v>
      </c>
      <c r="I222" s="15"/>
    </row>
    <row r="223" spans="2:9" x14ac:dyDescent="0.25">
      <c r="B223" s="7">
        <v>219</v>
      </c>
      <c r="C223" s="51">
        <f t="shared" si="7"/>
        <v>46392</v>
      </c>
      <c r="D223" s="46">
        <f t="shared" si="6"/>
        <v>1503.4</v>
      </c>
      <c r="E223" s="30">
        <f>MAX(Dashboard!$J$16,(Dashboard!$I$16*Fundo!W222)/360)/30</f>
        <v>500</v>
      </c>
      <c r="F223" s="30">
        <f>MAX(Dashboard!$J$15,(Dashboard!$I$15*Fundo!W222)/360)/30</f>
        <v>500</v>
      </c>
      <c r="G223" s="81">
        <f>Fundo!R222*Dashboard!$I$14</f>
        <v>503.40000000000003</v>
      </c>
      <c r="H223" s="30">
        <v>0</v>
      </c>
      <c r="I223" s="15"/>
    </row>
    <row r="224" spans="2:9" x14ac:dyDescent="0.25">
      <c r="B224" s="7">
        <v>220</v>
      </c>
      <c r="C224" s="51">
        <f t="shared" si="7"/>
        <v>46393</v>
      </c>
      <c r="D224" s="46">
        <f t="shared" si="6"/>
        <v>1503.4</v>
      </c>
      <c r="E224" s="30">
        <f>MAX(Dashboard!$J$16,(Dashboard!$I$16*Fundo!W223)/360)/30</f>
        <v>500</v>
      </c>
      <c r="F224" s="30">
        <f>MAX(Dashboard!$J$15,(Dashboard!$I$15*Fundo!W223)/360)/30</f>
        <v>500</v>
      </c>
      <c r="G224" s="81">
        <f>Fundo!R223*Dashboard!$I$14</f>
        <v>503.40000000000003</v>
      </c>
      <c r="H224" s="30">
        <v>0</v>
      </c>
      <c r="I224" s="15"/>
    </row>
    <row r="225" spans="2:9" x14ac:dyDescent="0.25">
      <c r="B225" s="7">
        <v>221</v>
      </c>
      <c r="C225" s="51">
        <f t="shared" si="7"/>
        <v>46394</v>
      </c>
      <c r="D225" s="46">
        <f t="shared" si="6"/>
        <v>1503.4</v>
      </c>
      <c r="E225" s="30">
        <f>MAX(Dashboard!$J$16,(Dashboard!$I$16*Fundo!W224)/360)/30</f>
        <v>500</v>
      </c>
      <c r="F225" s="30">
        <f>MAX(Dashboard!$J$15,(Dashboard!$I$15*Fundo!W224)/360)/30</f>
        <v>500</v>
      </c>
      <c r="G225" s="81">
        <f>Fundo!R224*Dashboard!$I$14</f>
        <v>503.40000000000003</v>
      </c>
      <c r="H225" s="30">
        <v>0</v>
      </c>
      <c r="I225" s="15"/>
    </row>
    <row r="226" spans="2:9" x14ac:dyDescent="0.25">
      <c r="B226" s="7">
        <v>222</v>
      </c>
      <c r="C226" s="51">
        <f t="shared" si="7"/>
        <v>46395</v>
      </c>
      <c r="D226" s="46">
        <f t="shared" si="6"/>
        <v>1503.4</v>
      </c>
      <c r="E226" s="30">
        <f>MAX(Dashboard!$J$16,(Dashboard!$I$16*Fundo!W225)/360)/30</f>
        <v>500</v>
      </c>
      <c r="F226" s="30">
        <f>MAX(Dashboard!$J$15,(Dashboard!$I$15*Fundo!W225)/360)/30</f>
        <v>500</v>
      </c>
      <c r="G226" s="81">
        <f>Fundo!R225*Dashboard!$I$14</f>
        <v>503.40000000000003</v>
      </c>
      <c r="H226" s="30">
        <v>0</v>
      </c>
      <c r="I226" s="15"/>
    </row>
    <row r="227" spans="2:9" x14ac:dyDescent="0.25">
      <c r="B227" s="7">
        <v>223</v>
      </c>
      <c r="C227" s="51">
        <f t="shared" si="7"/>
        <v>46396</v>
      </c>
      <c r="D227" s="46">
        <f t="shared" si="6"/>
        <v>1503.4</v>
      </c>
      <c r="E227" s="30">
        <f>MAX(Dashboard!$J$16,(Dashboard!$I$16*Fundo!W226)/360)/30</f>
        <v>500</v>
      </c>
      <c r="F227" s="30">
        <f>MAX(Dashboard!$J$15,(Dashboard!$I$15*Fundo!W226)/360)/30</f>
        <v>500</v>
      </c>
      <c r="G227" s="81">
        <f>Fundo!R226*Dashboard!$I$14</f>
        <v>503.40000000000003</v>
      </c>
      <c r="H227" s="30">
        <v>0</v>
      </c>
      <c r="I227" s="15"/>
    </row>
    <row r="228" spans="2:9" x14ac:dyDescent="0.25">
      <c r="B228" s="7">
        <v>224</v>
      </c>
      <c r="C228" s="51">
        <f t="shared" si="7"/>
        <v>46397</v>
      </c>
      <c r="D228" s="46">
        <f t="shared" si="6"/>
        <v>1503.4</v>
      </c>
      <c r="E228" s="30">
        <f>MAX(Dashboard!$J$16,(Dashboard!$I$16*Fundo!W227)/360)/30</f>
        <v>500</v>
      </c>
      <c r="F228" s="30">
        <f>MAX(Dashboard!$J$15,(Dashboard!$I$15*Fundo!W227)/360)/30</f>
        <v>500</v>
      </c>
      <c r="G228" s="81">
        <f>Fundo!R227*Dashboard!$I$14</f>
        <v>503.40000000000003</v>
      </c>
      <c r="H228" s="30">
        <v>0</v>
      </c>
      <c r="I228" s="15"/>
    </row>
    <row r="229" spans="2:9" x14ac:dyDescent="0.25">
      <c r="B229" s="7">
        <v>225</v>
      </c>
      <c r="C229" s="51">
        <f t="shared" si="7"/>
        <v>46398</v>
      </c>
      <c r="D229" s="46">
        <f t="shared" si="6"/>
        <v>1503.4</v>
      </c>
      <c r="E229" s="30">
        <f>MAX(Dashboard!$J$16,(Dashboard!$I$16*Fundo!W228)/360)/30</f>
        <v>500</v>
      </c>
      <c r="F229" s="30">
        <f>MAX(Dashboard!$J$15,(Dashboard!$I$15*Fundo!W228)/360)/30</f>
        <v>500</v>
      </c>
      <c r="G229" s="81">
        <f>Fundo!R228*Dashboard!$I$14</f>
        <v>503.40000000000003</v>
      </c>
      <c r="H229" s="30">
        <v>0</v>
      </c>
      <c r="I229" s="15"/>
    </row>
    <row r="230" spans="2:9" x14ac:dyDescent="0.25">
      <c r="B230" s="7">
        <v>226</v>
      </c>
      <c r="C230" s="51">
        <f t="shared" si="7"/>
        <v>46399</v>
      </c>
      <c r="D230" s="46">
        <f t="shared" si="6"/>
        <v>1503.4</v>
      </c>
      <c r="E230" s="30">
        <f>MAX(Dashboard!$J$16,(Dashboard!$I$16*Fundo!W229)/360)/30</f>
        <v>500</v>
      </c>
      <c r="F230" s="30">
        <f>MAX(Dashboard!$J$15,(Dashboard!$I$15*Fundo!W229)/360)/30</f>
        <v>500</v>
      </c>
      <c r="G230" s="81">
        <f>Fundo!R229*Dashboard!$I$14</f>
        <v>503.40000000000003</v>
      </c>
      <c r="H230" s="30">
        <v>0</v>
      </c>
      <c r="I230" s="15"/>
    </row>
    <row r="231" spans="2:9" x14ac:dyDescent="0.25">
      <c r="B231" s="7">
        <v>227</v>
      </c>
      <c r="C231" s="51">
        <f t="shared" si="7"/>
        <v>46400</v>
      </c>
      <c r="D231" s="46">
        <f t="shared" si="6"/>
        <v>1503.4</v>
      </c>
      <c r="E231" s="30">
        <f>MAX(Dashboard!$J$16,(Dashboard!$I$16*Fundo!W230)/360)/30</f>
        <v>500</v>
      </c>
      <c r="F231" s="30">
        <f>MAX(Dashboard!$J$15,(Dashboard!$I$15*Fundo!W230)/360)/30</f>
        <v>500</v>
      </c>
      <c r="G231" s="81">
        <f>Fundo!R230*Dashboard!$I$14</f>
        <v>503.40000000000003</v>
      </c>
      <c r="H231" s="30">
        <v>0</v>
      </c>
      <c r="I231" s="15"/>
    </row>
    <row r="232" spans="2:9" x14ac:dyDescent="0.25">
      <c r="B232" s="7">
        <v>228</v>
      </c>
      <c r="C232" s="51">
        <f t="shared" si="7"/>
        <v>46401</v>
      </c>
      <c r="D232" s="46">
        <f t="shared" si="6"/>
        <v>1503.4</v>
      </c>
      <c r="E232" s="30">
        <f>MAX(Dashboard!$J$16,(Dashboard!$I$16*Fundo!W231)/360)/30</f>
        <v>500</v>
      </c>
      <c r="F232" s="30">
        <f>MAX(Dashboard!$J$15,(Dashboard!$I$15*Fundo!W231)/360)/30</f>
        <v>500</v>
      </c>
      <c r="G232" s="81">
        <f>Fundo!R231*Dashboard!$I$14</f>
        <v>503.40000000000003</v>
      </c>
      <c r="H232" s="30">
        <v>0</v>
      </c>
      <c r="I232" s="15"/>
    </row>
    <row r="233" spans="2:9" x14ac:dyDescent="0.25">
      <c r="B233" s="7">
        <v>229</v>
      </c>
      <c r="C233" s="51">
        <f t="shared" si="7"/>
        <v>46402</v>
      </c>
      <c r="D233" s="46">
        <f t="shared" si="6"/>
        <v>1503.4</v>
      </c>
      <c r="E233" s="30">
        <f>MAX(Dashboard!$J$16,(Dashboard!$I$16*Fundo!W232)/360)/30</f>
        <v>500</v>
      </c>
      <c r="F233" s="30">
        <f>MAX(Dashboard!$J$15,(Dashboard!$I$15*Fundo!W232)/360)/30</f>
        <v>500</v>
      </c>
      <c r="G233" s="81">
        <f>Fundo!R232*Dashboard!$I$14</f>
        <v>503.40000000000003</v>
      </c>
      <c r="H233" s="30">
        <v>0</v>
      </c>
      <c r="I233" s="15"/>
    </row>
    <row r="234" spans="2:9" x14ac:dyDescent="0.25">
      <c r="B234" s="7">
        <v>230</v>
      </c>
      <c r="C234" s="51">
        <f t="shared" si="7"/>
        <v>46403</v>
      </c>
      <c r="D234" s="46">
        <f t="shared" si="6"/>
        <v>1503.4</v>
      </c>
      <c r="E234" s="30">
        <f>MAX(Dashboard!$J$16,(Dashboard!$I$16*Fundo!W233)/360)/30</f>
        <v>500</v>
      </c>
      <c r="F234" s="30">
        <f>MAX(Dashboard!$J$15,(Dashboard!$I$15*Fundo!W233)/360)/30</f>
        <v>500</v>
      </c>
      <c r="G234" s="81">
        <f>Fundo!R233*Dashboard!$I$14</f>
        <v>503.40000000000003</v>
      </c>
      <c r="H234" s="30">
        <v>0</v>
      </c>
      <c r="I234" s="15"/>
    </row>
    <row r="235" spans="2:9" x14ac:dyDescent="0.25">
      <c r="B235" s="7">
        <v>231</v>
      </c>
      <c r="C235" s="51">
        <f t="shared" si="7"/>
        <v>46404</v>
      </c>
      <c r="D235" s="46">
        <f t="shared" si="6"/>
        <v>1503.4</v>
      </c>
      <c r="E235" s="30">
        <f>MAX(Dashboard!$J$16,(Dashboard!$I$16*Fundo!W234)/360)/30</f>
        <v>500</v>
      </c>
      <c r="F235" s="30">
        <f>MAX(Dashboard!$J$15,(Dashboard!$I$15*Fundo!W234)/360)/30</f>
        <v>500</v>
      </c>
      <c r="G235" s="81">
        <f>Fundo!R234*Dashboard!$I$14</f>
        <v>503.40000000000003</v>
      </c>
      <c r="H235" s="30">
        <v>0</v>
      </c>
      <c r="I235" s="15"/>
    </row>
    <row r="236" spans="2:9" x14ac:dyDescent="0.25">
      <c r="B236" s="7">
        <v>232</v>
      </c>
      <c r="C236" s="51">
        <f t="shared" si="7"/>
        <v>46405</v>
      </c>
      <c r="D236" s="46">
        <f t="shared" si="6"/>
        <v>1503.4</v>
      </c>
      <c r="E236" s="30">
        <f>MAX(Dashboard!$J$16,(Dashboard!$I$16*Fundo!W235)/360)/30</f>
        <v>500</v>
      </c>
      <c r="F236" s="30">
        <f>MAX(Dashboard!$J$15,(Dashboard!$I$15*Fundo!W235)/360)/30</f>
        <v>500</v>
      </c>
      <c r="G236" s="81">
        <f>Fundo!R235*Dashboard!$I$14</f>
        <v>503.40000000000003</v>
      </c>
      <c r="H236" s="30">
        <v>0</v>
      </c>
      <c r="I236" s="15"/>
    </row>
    <row r="237" spans="2:9" x14ac:dyDescent="0.25">
      <c r="B237" s="7">
        <v>233</v>
      </c>
      <c r="C237" s="51">
        <f t="shared" si="7"/>
        <v>46406</v>
      </c>
      <c r="D237" s="46">
        <f t="shared" si="6"/>
        <v>1503.4</v>
      </c>
      <c r="E237" s="30">
        <f>MAX(Dashboard!$J$16,(Dashboard!$I$16*Fundo!W236)/360)/30</f>
        <v>500</v>
      </c>
      <c r="F237" s="30">
        <f>MAX(Dashboard!$J$15,(Dashboard!$I$15*Fundo!W236)/360)/30</f>
        <v>500</v>
      </c>
      <c r="G237" s="81">
        <f>Fundo!R236*Dashboard!$I$14</f>
        <v>503.40000000000003</v>
      </c>
      <c r="H237" s="30">
        <v>0</v>
      </c>
      <c r="I237" s="15"/>
    </row>
    <row r="238" spans="2:9" x14ac:dyDescent="0.25">
      <c r="B238" s="7">
        <v>234</v>
      </c>
      <c r="C238" s="51">
        <f t="shared" si="7"/>
        <v>46407</v>
      </c>
      <c r="D238" s="46">
        <f t="shared" si="6"/>
        <v>1503.4</v>
      </c>
      <c r="E238" s="30">
        <f>MAX(Dashboard!$J$16,(Dashboard!$I$16*Fundo!W237)/360)/30</f>
        <v>500</v>
      </c>
      <c r="F238" s="30">
        <f>MAX(Dashboard!$J$15,(Dashboard!$I$15*Fundo!W237)/360)/30</f>
        <v>500</v>
      </c>
      <c r="G238" s="81">
        <f>Fundo!R237*Dashboard!$I$14</f>
        <v>503.40000000000003</v>
      </c>
      <c r="H238" s="30">
        <v>0</v>
      </c>
      <c r="I238" s="15"/>
    </row>
    <row r="239" spans="2:9" x14ac:dyDescent="0.25">
      <c r="B239" s="7">
        <v>235</v>
      </c>
      <c r="C239" s="51">
        <f t="shared" si="7"/>
        <v>46408</v>
      </c>
      <c r="D239" s="46">
        <f t="shared" si="6"/>
        <v>1503.4</v>
      </c>
      <c r="E239" s="30">
        <f>MAX(Dashboard!$J$16,(Dashboard!$I$16*Fundo!W238)/360)/30</f>
        <v>500</v>
      </c>
      <c r="F239" s="30">
        <f>MAX(Dashboard!$J$15,(Dashboard!$I$15*Fundo!W238)/360)/30</f>
        <v>500</v>
      </c>
      <c r="G239" s="81">
        <f>Fundo!R238*Dashboard!$I$14</f>
        <v>503.40000000000003</v>
      </c>
      <c r="H239" s="30">
        <v>0</v>
      </c>
      <c r="I239" s="15"/>
    </row>
    <row r="240" spans="2:9" x14ac:dyDescent="0.25">
      <c r="B240" s="7">
        <v>236</v>
      </c>
      <c r="C240" s="51">
        <f t="shared" si="7"/>
        <v>46409</v>
      </c>
      <c r="D240" s="46">
        <f t="shared" si="6"/>
        <v>1503.4</v>
      </c>
      <c r="E240" s="30">
        <f>MAX(Dashboard!$J$16,(Dashboard!$I$16*Fundo!W239)/360)/30</f>
        <v>500</v>
      </c>
      <c r="F240" s="30">
        <f>MAX(Dashboard!$J$15,(Dashboard!$I$15*Fundo!W239)/360)/30</f>
        <v>500</v>
      </c>
      <c r="G240" s="81">
        <f>Fundo!R239*Dashboard!$I$14</f>
        <v>503.40000000000003</v>
      </c>
      <c r="H240" s="30">
        <v>0</v>
      </c>
      <c r="I240" s="15"/>
    </row>
    <row r="241" spans="2:9" x14ac:dyDescent="0.25">
      <c r="B241" s="7">
        <v>237</v>
      </c>
      <c r="C241" s="51">
        <f t="shared" si="7"/>
        <v>46410</v>
      </c>
      <c r="D241" s="46">
        <f t="shared" si="6"/>
        <v>1503.4</v>
      </c>
      <c r="E241" s="30">
        <f>MAX(Dashboard!$J$16,(Dashboard!$I$16*Fundo!W240)/360)/30</f>
        <v>500</v>
      </c>
      <c r="F241" s="30">
        <f>MAX(Dashboard!$J$15,(Dashboard!$I$15*Fundo!W240)/360)/30</f>
        <v>500</v>
      </c>
      <c r="G241" s="81">
        <f>Fundo!R240*Dashboard!$I$14</f>
        <v>503.40000000000003</v>
      </c>
      <c r="H241" s="30">
        <v>0</v>
      </c>
      <c r="I241" s="15"/>
    </row>
    <row r="242" spans="2:9" x14ac:dyDescent="0.25">
      <c r="B242" s="7">
        <v>238</v>
      </c>
      <c r="C242" s="51">
        <f t="shared" si="7"/>
        <v>46411</v>
      </c>
      <c r="D242" s="46">
        <f t="shared" si="6"/>
        <v>1503.4</v>
      </c>
      <c r="E242" s="30">
        <f>MAX(Dashboard!$J$16,(Dashboard!$I$16*Fundo!W241)/360)/30</f>
        <v>500</v>
      </c>
      <c r="F242" s="30">
        <f>MAX(Dashboard!$J$15,(Dashboard!$I$15*Fundo!W241)/360)/30</f>
        <v>500</v>
      </c>
      <c r="G242" s="81">
        <f>Fundo!R241*Dashboard!$I$14</f>
        <v>503.40000000000003</v>
      </c>
      <c r="H242" s="30">
        <v>0</v>
      </c>
      <c r="I242" s="15"/>
    </row>
    <row r="243" spans="2:9" x14ac:dyDescent="0.25">
      <c r="B243" s="7">
        <v>239</v>
      </c>
      <c r="C243" s="51">
        <f t="shared" si="7"/>
        <v>46412</v>
      </c>
      <c r="D243" s="46">
        <f t="shared" si="6"/>
        <v>1503.4</v>
      </c>
      <c r="E243" s="30">
        <f>MAX(Dashboard!$J$16,(Dashboard!$I$16*Fundo!W242)/360)/30</f>
        <v>500</v>
      </c>
      <c r="F243" s="30">
        <f>MAX(Dashboard!$J$15,(Dashboard!$I$15*Fundo!W242)/360)/30</f>
        <v>500</v>
      </c>
      <c r="G243" s="81">
        <f>Fundo!R242*Dashboard!$I$14</f>
        <v>503.40000000000003</v>
      </c>
      <c r="H243" s="30">
        <v>0</v>
      </c>
      <c r="I243" s="15"/>
    </row>
    <row r="244" spans="2:9" x14ac:dyDescent="0.25">
      <c r="B244" s="7">
        <v>240</v>
      </c>
      <c r="C244" s="51">
        <f t="shared" si="7"/>
        <v>46413</v>
      </c>
      <c r="D244" s="46">
        <f t="shared" si="6"/>
        <v>1503.4</v>
      </c>
      <c r="E244" s="30">
        <f>MAX(Dashboard!$J$16,(Dashboard!$I$16*Fundo!W243)/360)/30</f>
        <v>500</v>
      </c>
      <c r="F244" s="30">
        <f>MAX(Dashboard!$J$15,(Dashboard!$I$15*Fundo!W243)/360)/30</f>
        <v>500</v>
      </c>
      <c r="G244" s="81">
        <f>Fundo!R243*Dashboard!$I$14</f>
        <v>503.40000000000003</v>
      </c>
      <c r="H244" s="30">
        <v>0</v>
      </c>
      <c r="I244" s="15"/>
    </row>
    <row r="245" spans="2:9" x14ac:dyDescent="0.25">
      <c r="B245" s="7">
        <v>241</v>
      </c>
      <c r="C245" s="51">
        <f t="shared" si="7"/>
        <v>46414</v>
      </c>
      <c r="D245" s="46">
        <f t="shared" si="6"/>
        <v>1503.4</v>
      </c>
      <c r="E245" s="30">
        <f>MAX(Dashboard!$J$16,(Dashboard!$I$16*Fundo!W244)/360)/30</f>
        <v>500</v>
      </c>
      <c r="F245" s="30">
        <f>MAX(Dashboard!$J$15,(Dashboard!$I$15*Fundo!W244)/360)/30</f>
        <v>500</v>
      </c>
      <c r="G245" s="81">
        <f>Fundo!R244*Dashboard!$I$14</f>
        <v>503.40000000000003</v>
      </c>
      <c r="H245" s="30">
        <v>0</v>
      </c>
      <c r="I245" s="15"/>
    </row>
    <row r="246" spans="2:9" x14ac:dyDescent="0.25">
      <c r="B246" s="7">
        <v>242</v>
      </c>
      <c r="C246" s="51">
        <f t="shared" si="7"/>
        <v>46415</v>
      </c>
      <c r="D246" s="46">
        <f t="shared" si="6"/>
        <v>1503.4</v>
      </c>
      <c r="E246" s="30">
        <f>MAX(Dashboard!$J$16,(Dashboard!$I$16*Fundo!W245)/360)/30</f>
        <v>500</v>
      </c>
      <c r="F246" s="30">
        <f>MAX(Dashboard!$J$15,(Dashboard!$I$15*Fundo!W245)/360)/30</f>
        <v>500</v>
      </c>
      <c r="G246" s="81">
        <f>Fundo!R245*Dashboard!$I$14</f>
        <v>503.40000000000003</v>
      </c>
      <c r="H246" s="30">
        <v>0</v>
      </c>
      <c r="I246" s="15"/>
    </row>
    <row r="247" spans="2:9" x14ac:dyDescent="0.25">
      <c r="B247" s="7">
        <v>243</v>
      </c>
      <c r="C247" s="51">
        <f t="shared" si="7"/>
        <v>46416</v>
      </c>
      <c r="D247" s="46">
        <f t="shared" si="6"/>
        <v>1503.4</v>
      </c>
      <c r="E247" s="30">
        <f>MAX(Dashboard!$J$16,(Dashboard!$I$16*Fundo!W246)/360)/30</f>
        <v>500</v>
      </c>
      <c r="F247" s="30">
        <f>MAX(Dashboard!$J$15,(Dashboard!$I$15*Fundo!W246)/360)/30</f>
        <v>500</v>
      </c>
      <c r="G247" s="81">
        <f>Fundo!R246*Dashboard!$I$14</f>
        <v>503.40000000000003</v>
      </c>
      <c r="H247" s="30">
        <v>0</v>
      </c>
      <c r="I247" s="15"/>
    </row>
    <row r="248" spans="2:9" x14ac:dyDescent="0.25">
      <c r="B248" s="7">
        <v>244</v>
      </c>
      <c r="C248" s="51">
        <f t="shared" si="7"/>
        <v>46417</v>
      </c>
      <c r="D248" s="46">
        <f t="shared" si="6"/>
        <v>1503.4</v>
      </c>
      <c r="E248" s="30">
        <f>MAX(Dashboard!$J$16,(Dashboard!$I$16*Fundo!W247)/360)/30</f>
        <v>500</v>
      </c>
      <c r="F248" s="30">
        <f>MAX(Dashboard!$J$15,(Dashboard!$I$15*Fundo!W247)/360)/30</f>
        <v>500</v>
      </c>
      <c r="G248" s="81">
        <f>Fundo!R247*Dashboard!$I$14</f>
        <v>503.40000000000003</v>
      </c>
      <c r="H248" s="30">
        <v>0</v>
      </c>
      <c r="I248" s="15"/>
    </row>
    <row r="249" spans="2:9" x14ac:dyDescent="0.25">
      <c r="B249" s="7">
        <v>245</v>
      </c>
      <c r="C249" s="51">
        <f t="shared" si="7"/>
        <v>46418</v>
      </c>
      <c r="D249" s="46">
        <f t="shared" si="6"/>
        <v>1503.4</v>
      </c>
      <c r="E249" s="30">
        <f>MAX(Dashboard!$J$16,(Dashboard!$I$16*Fundo!W248)/360)/30</f>
        <v>500</v>
      </c>
      <c r="F249" s="30">
        <f>MAX(Dashboard!$J$15,(Dashboard!$I$15*Fundo!W248)/360)/30</f>
        <v>500</v>
      </c>
      <c r="G249" s="81">
        <f>Fundo!R248*Dashboard!$I$14</f>
        <v>503.40000000000003</v>
      </c>
      <c r="H249" s="30">
        <v>0</v>
      </c>
      <c r="I249" s="15"/>
    </row>
    <row r="250" spans="2:9" x14ac:dyDescent="0.25">
      <c r="B250" s="7">
        <v>246</v>
      </c>
      <c r="C250" s="51">
        <f t="shared" si="7"/>
        <v>46419</v>
      </c>
      <c r="D250" s="46">
        <f t="shared" si="6"/>
        <v>1503.4</v>
      </c>
      <c r="E250" s="30">
        <f>MAX(Dashboard!$J$16,(Dashboard!$I$16*Fundo!W249)/360)/30</f>
        <v>500</v>
      </c>
      <c r="F250" s="30">
        <f>MAX(Dashboard!$J$15,(Dashboard!$I$15*Fundo!W249)/360)/30</f>
        <v>500</v>
      </c>
      <c r="G250" s="81">
        <f>Fundo!R249*Dashboard!$I$14</f>
        <v>503.40000000000003</v>
      </c>
      <c r="H250" s="30">
        <v>0</v>
      </c>
      <c r="I250" s="15"/>
    </row>
    <row r="251" spans="2:9" x14ac:dyDescent="0.25">
      <c r="B251" s="7">
        <v>247</v>
      </c>
      <c r="C251" s="51">
        <f t="shared" si="7"/>
        <v>46420</v>
      </c>
      <c r="D251" s="46">
        <f t="shared" si="6"/>
        <v>1503.4</v>
      </c>
      <c r="E251" s="30">
        <f>MAX(Dashboard!$J$16,(Dashboard!$I$16*Fundo!W250)/360)/30</f>
        <v>500</v>
      </c>
      <c r="F251" s="30">
        <f>MAX(Dashboard!$J$15,(Dashboard!$I$15*Fundo!W250)/360)/30</f>
        <v>500</v>
      </c>
      <c r="G251" s="81">
        <f>Fundo!R250*Dashboard!$I$14</f>
        <v>503.40000000000003</v>
      </c>
      <c r="H251" s="30">
        <v>0</v>
      </c>
      <c r="I251" s="15"/>
    </row>
    <row r="252" spans="2:9" x14ac:dyDescent="0.25">
      <c r="B252" s="7">
        <v>248</v>
      </c>
      <c r="C252" s="51">
        <f t="shared" si="7"/>
        <v>46421</v>
      </c>
      <c r="D252" s="46">
        <f t="shared" si="6"/>
        <v>1503.4</v>
      </c>
      <c r="E252" s="30">
        <f>MAX(Dashboard!$J$16,(Dashboard!$I$16*Fundo!W251)/360)/30</f>
        <v>500</v>
      </c>
      <c r="F252" s="30">
        <f>MAX(Dashboard!$J$15,(Dashboard!$I$15*Fundo!W251)/360)/30</f>
        <v>500</v>
      </c>
      <c r="G252" s="81">
        <f>Fundo!R251*Dashboard!$I$14</f>
        <v>503.40000000000003</v>
      </c>
      <c r="H252" s="30">
        <v>0</v>
      </c>
      <c r="I252" s="15"/>
    </row>
    <row r="253" spans="2:9" x14ac:dyDescent="0.25">
      <c r="B253" s="7">
        <v>249</v>
      </c>
      <c r="C253" s="51">
        <f t="shared" si="7"/>
        <v>46422</v>
      </c>
      <c r="D253" s="46">
        <f t="shared" si="6"/>
        <v>1503.4</v>
      </c>
      <c r="E253" s="30">
        <f>MAX(Dashboard!$J$16,(Dashboard!$I$16*Fundo!W252)/360)/30</f>
        <v>500</v>
      </c>
      <c r="F253" s="30">
        <f>MAX(Dashboard!$J$15,(Dashboard!$I$15*Fundo!W252)/360)/30</f>
        <v>500</v>
      </c>
      <c r="G253" s="81">
        <f>Fundo!R252*Dashboard!$I$14</f>
        <v>503.40000000000003</v>
      </c>
      <c r="H253" s="30">
        <v>0</v>
      </c>
      <c r="I253" s="15"/>
    </row>
    <row r="254" spans="2:9" x14ac:dyDescent="0.25">
      <c r="B254" s="7">
        <v>250</v>
      </c>
      <c r="C254" s="51">
        <f t="shared" si="7"/>
        <v>46423</v>
      </c>
      <c r="D254" s="46">
        <f t="shared" si="6"/>
        <v>1503.4</v>
      </c>
      <c r="E254" s="30">
        <f>MAX(Dashboard!$J$16,(Dashboard!$I$16*Fundo!W253)/360)/30</f>
        <v>500</v>
      </c>
      <c r="F254" s="30">
        <f>MAX(Dashboard!$J$15,(Dashboard!$I$15*Fundo!W253)/360)/30</f>
        <v>500</v>
      </c>
      <c r="G254" s="81">
        <f>Fundo!R253*Dashboard!$I$14</f>
        <v>503.40000000000003</v>
      </c>
      <c r="H254" s="30">
        <v>0</v>
      </c>
      <c r="I254" s="15"/>
    </row>
    <row r="255" spans="2:9" x14ac:dyDescent="0.25">
      <c r="B255" s="7">
        <v>251</v>
      </c>
      <c r="C255" s="51">
        <f t="shared" si="7"/>
        <v>46424</v>
      </c>
      <c r="D255" s="46">
        <f t="shared" si="6"/>
        <v>1503.4</v>
      </c>
      <c r="E255" s="30">
        <f>MAX(Dashboard!$J$16,(Dashboard!$I$16*Fundo!W254)/360)/30</f>
        <v>500</v>
      </c>
      <c r="F255" s="30">
        <f>MAX(Dashboard!$J$15,(Dashboard!$I$15*Fundo!W254)/360)/30</f>
        <v>500</v>
      </c>
      <c r="G255" s="81">
        <f>Fundo!R254*Dashboard!$I$14</f>
        <v>503.40000000000003</v>
      </c>
      <c r="H255" s="30">
        <v>0</v>
      </c>
      <c r="I255" s="15"/>
    </row>
    <row r="256" spans="2:9" x14ac:dyDescent="0.25">
      <c r="B256" s="7">
        <v>252</v>
      </c>
      <c r="C256" s="51">
        <f t="shared" si="7"/>
        <v>46425</v>
      </c>
      <c r="D256" s="46">
        <f t="shared" ref="D256:D319" si="8">E256+F256+G256+H256+I256</f>
        <v>1503.4</v>
      </c>
      <c r="E256" s="30">
        <f>MAX(Dashboard!$J$16,(Dashboard!$I$16*Fundo!W255)/360)/30</f>
        <v>500</v>
      </c>
      <c r="F256" s="30">
        <f>MAX(Dashboard!$J$15,(Dashboard!$I$15*Fundo!W255)/360)/30</f>
        <v>500</v>
      </c>
      <c r="G256" s="81">
        <f>Fundo!R255*Dashboard!$I$14</f>
        <v>503.40000000000003</v>
      </c>
      <c r="H256" s="30">
        <v>0</v>
      </c>
      <c r="I256" s="15"/>
    </row>
    <row r="257" spans="2:9" x14ac:dyDescent="0.25">
      <c r="B257" s="7">
        <v>253</v>
      </c>
      <c r="C257" s="51">
        <f t="shared" si="7"/>
        <v>46426</v>
      </c>
      <c r="D257" s="46">
        <f t="shared" si="8"/>
        <v>1503.4</v>
      </c>
      <c r="E257" s="30">
        <f>MAX(Dashboard!$J$16,(Dashboard!$I$16*Fundo!W256)/360)/30</f>
        <v>500</v>
      </c>
      <c r="F257" s="30">
        <f>MAX(Dashboard!$J$15,(Dashboard!$I$15*Fundo!W256)/360)/30</f>
        <v>500</v>
      </c>
      <c r="G257" s="81">
        <f>Fundo!R256*Dashboard!$I$14</f>
        <v>503.40000000000003</v>
      </c>
      <c r="H257" s="30">
        <v>0</v>
      </c>
      <c r="I257" s="15"/>
    </row>
    <row r="258" spans="2:9" x14ac:dyDescent="0.25">
      <c r="B258" s="7">
        <v>254</v>
      </c>
      <c r="C258" s="51">
        <f t="shared" si="7"/>
        <v>46427</v>
      </c>
      <c r="D258" s="46">
        <f t="shared" si="8"/>
        <v>1503.4</v>
      </c>
      <c r="E258" s="30">
        <f>MAX(Dashboard!$J$16,(Dashboard!$I$16*Fundo!W257)/360)/30</f>
        <v>500</v>
      </c>
      <c r="F258" s="30">
        <f>MAX(Dashboard!$J$15,(Dashboard!$I$15*Fundo!W257)/360)/30</f>
        <v>500</v>
      </c>
      <c r="G258" s="81">
        <f>Fundo!R257*Dashboard!$I$14</f>
        <v>503.40000000000003</v>
      </c>
      <c r="H258" s="30">
        <v>0</v>
      </c>
      <c r="I258" s="15"/>
    </row>
    <row r="259" spans="2:9" x14ac:dyDescent="0.25">
      <c r="B259" s="7">
        <v>255</v>
      </c>
      <c r="C259" s="51">
        <f t="shared" si="7"/>
        <v>46428</v>
      </c>
      <c r="D259" s="46">
        <f t="shared" si="8"/>
        <v>1503.4</v>
      </c>
      <c r="E259" s="30">
        <f>MAX(Dashboard!$J$16,(Dashboard!$I$16*Fundo!W258)/360)/30</f>
        <v>500</v>
      </c>
      <c r="F259" s="30">
        <f>MAX(Dashboard!$J$15,(Dashboard!$I$15*Fundo!W258)/360)/30</f>
        <v>500</v>
      </c>
      <c r="G259" s="81">
        <f>Fundo!R258*Dashboard!$I$14</f>
        <v>503.40000000000003</v>
      </c>
      <c r="H259" s="30">
        <v>0</v>
      </c>
      <c r="I259" s="15"/>
    </row>
    <row r="260" spans="2:9" x14ac:dyDescent="0.25">
      <c r="B260" s="7">
        <v>256</v>
      </c>
      <c r="C260" s="51">
        <f t="shared" si="7"/>
        <v>46429</v>
      </c>
      <c r="D260" s="46">
        <f t="shared" si="8"/>
        <v>1503.4</v>
      </c>
      <c r="E260" s="30">
        <f>MAX(Dashboard!$J$16,(Dashboard!$I$16*Fundo!W259)/360)/30</f>
        <v>500</v>
      </c>
      <c r="F260" s="30">
        <f>MAX(Dashboard!$J$15,(Dashboard!$I$15*Fundo!W259)/360)/30</f>
        <v>500</v>
      </c>
      <c r="G260" s="81">
        <f>Fundo!R259*Dashboard!$I$14</f>
        <v>503.40000000000003</v>
      </c>
      <c r="H260" s="30">
        <v>0</v>
      </c>
      <c r="I260" s="15"/>
    </row>
    <row r="261" spans="2:9" x14ac:dyDescent="0.25">
      <c r="B261" s="7">
        <v>257</v>
      </c>
      <c r="C261" s="51">
        <f t="shared" si="7"/>
        <v>46430</v>
      </c>
      <c r="D261" s="46">
        <f t="shared" si="8"/>
        <v>1503.4</v>
      </c>
      <c r="E261" s="30">
        <f>MAX(Dashboard!$J$16,(Dashboard!$I$16*Fundo!W260)/360)/30</f>
        <v>500</v>
      </c>
      <c r="F261" s="30">
        <f>MAX(Dashboard!$J$15,(Dashboard!$I$15*Fundo!W260)/360)/30</f>
        <v>500</v>
      </c>
      <c r="G261" s="81">
        <f>Fundo!R260*Dashboard!$I$14</f>
        <v>503.40000000000003</v>
      </c>
      <c r="H261" s="30">
        <v>0</v>
      </c>
      <c r="I261" s="15"/>
    </row>
    <row r="262" spans="2:9" x14ac:dyDescent="0.25">
      <c r="B262" s="7">
        <v>258</v>
      </c>
      <c r="C262" s="51">
        <f t="shared" si="7"/>
        <v>46431</v>
      </c>
      <c r="D262" s="46">
        <f t="shared" si="8"/>
        <v>1503.4</v>
      </c>
      <c r="E262" s="30">
        <f>MAX(Dashboard!$J$16,(Dashboard!$I$16*Fundo!W261)/360)/30</f>
        <v>500</v>
      </c>
      <c r="F262" s="30">
        <f>MAX(Dashboard!$J$15,(Dashboard!$I$15*Fundo!W261)/360)/30</f>
        <v>500</v>
      </c>
      <c r="G262" s="81">
        <f>Fundo!R261*Dashboard!$I$14</f>
        <v>503.40000000000003</v>
      </c>
      <c r="H262" s="30">
        <v>0</v>
      </c>
      <c r="I262" s="15"/>
    </row>
    <row r="263" spans="2:9" x14ac:dyDescent="0.25">
      <c r="B263" s="7">
        <v>259</v>
      </c>
      <c r="C263" s="51">
        <f t="shared" ref="C263:C326" si="9">C262+1</f>
        <v>46432</v>
      </c>
      <c r="D263" s="46">
        <f t="shared" si="8"/>
        <v>1503.4</v>
      </c>
      <c r="E263" s="30">
        <f>MAX(Dashboard!$J$16,(Dashboard!$I$16*Fundo!W262)/360)/30</f>
        <v>500</v>
      </c>
      <c r="F263" s="30">
        <f>MAX(Dashboard!$J$15,(Dashboard!$I$15*Fundo!W262)/360)/30</f>
        <v>500</v>
      </c>
      <c r="G263" s="81">
        <f>Fundo!R262*Dashboard!$I$14</f>
        <v>503.40000000000003</v>
      </c>
      <c r="H263" s="30">
        <v>0</v>
      </c>
      <c r="I263" s="15"/>
    </row>
    <row r="264" spans="2:9" x14ac:dyDescent="0.25">
      <c r="B264" s="7">
        <v>260</v>
      </c>
      <c r="C264" s="51">
        <f t="shared" si="9"/>
        <v>46433</v>
      </c>
      <c r="D264" s="46">
        <f t="shared" si="8"/>
        <v>1503.4</v>
      </c>
      <c r="E264" s="30">
        <f>MAX(Dashboard!$J$16,(Dashboard!$I$16*Fundo!W263)/360)/30</f>
        <v>500</v>
      </c>
      <c r="F264" s="30">
        <f>MAX(Dashboard!$J$15,(Dashboard!$I$15*Fundo!W263)/360)/30</f>
        <v>500</v>
      </c>
      <c r="G264" s="81">
        <f>Fundo!R263*Dashboard!$I$14</f>
        <v>503.40000000000003</v>
      </c>
      <c r="H264" s="30">
        <v>0</v>
      </c>
      <c r="I264" s="15"/>
    </row>
    <row r="265" spans="2:9" x14ac:dyDescent="0.25">
      <c r="B265" s="7">
        <v>261</v>
      </c>
      <c r="C265" s="51">
        <f t="shared" si="9"/>
        <v>46434</v>
      </c>
      <c r="D265" s="46">
        <f t="shared" si="8"/>
        <v>1503.4</v>
      </c>
      <c r="E265" s="30">
        <f>MAX(Dashboard!$J$16,(Dashboard!$I$16*Fundo!W264)/360)/30</f>
        <v>500</v>
      </c>
      <c r="F265" s="30">
        <f>MAX(Dashboard!$J$15,(Dashboard!$I$15*Fundo!W264)/360)/30</f>
        <v>500</v>
      </c>
      <c r="G265" s="81">
        <f>Fundo!R264*Dashboard!$I$14</f>
        <v>503.40000000000003</v>
      </c>
      <c r="H265" s="30">
        <v>0</v>
      </c>
      <c r="I265" s="15"/>
    </row>
    <row r="266" spans="2:9" x14ac:dyDescent="0.25">
      <c r="B266" s="7">
        <v>262</v>
      </c>
      <c r="C266" s="51">
        <f t="shared" si="9"/>
        <v>46435</v>
      </c>
      <c r="D266" s="46">
        <f t="shared" si="8"/>
        <v>1503.4</v>
      </c>
      <c r="E266" s="30">
        <f>MAX(Dashboard!$J$16,(Dashboard!$I$16*Fundo!W265)/360)/30</f>
        <v>500</v>
      </c>
      <c r="F266" s="30">
        <f>MAX(Dashboard!$J$15,(Dashboard!$I$15*Fundo!W265)/360)/30</f>
        <v>500</v>
      </c>
      <c r="G266" s="81">
        <f>Fundo!R265*Dashboard!$I$14</f>
        <v>503.40000000000003</v>
      </c>
      <c r="H266" s="30">
        <v>0</v>
      </c>
      <c r="I266" s="15"/>
    </row>
    <row r="267" spans="2:9" x14ac:dyDescent="0.25">
      <c r="B267" s="7">
        <v>263</v>
      </c>
      <c r="C267" s="51">
        <f t="shared" si="9"/>
        <v>46436</v>
      </c>
      <c r="D267" s="46">
        <f t="shared" si="8"/>
        <v>1503.4</v>
      </c>
      <c r="E267" s="30">
        <f>MAX(Dashboard!$J$16,(Dashboard!$I$16*Fundo!W266)/360)/30</f>
        <v>500</v>
      </c>
      <c r="F267" s="30">
        <f>MAX(Dashboard!$J$15,(Dashboard!$I$15*Fundo!W266)/360)/30</f>
        <v>500</v>
      </c>
      <c r="G267" s="81">
        <f>Fundo!R266*Dashboard!$I$14</f>
        <v>503.40000000000003</v>
      </c>
      <c r="H267" s="30">
        <v>0</v>
      </c>
      <c r="I267" s="15"/>
    </row>
    <row r="268" spans="2:9" x14ac:dyDescent="0.25">
      <c r="B268" s="7">
        <v>264</v>
      </c>
      <c r="C268" s="51">
        <f t="shared" si="9"/>
        <v>46437</v>
      </c>
      <c r="D268" s="46">
        <f t="shared" si="8"/>
        <v>1503.4</v>
      </c>
      <c r="E268" s="30">
        <f>MAX(Dashboard!$J$16,(Dashboard!$I$16*Fundo!W267)/360)/30</f>
        <v>500</v>
      </c>
      <c r="F268" s="30">
        <f>MAX(Dashboard!$J$15,(Dashboard!$I$15*Fundo!W267)/360)/30</f>
        <v>500</v>
      </c>
      <c r="G268" s="81">
        <f>Fundo!R267*Dashboard!$I$14</f>
        <v>503.40000000000003</v>
      </c>
      <c r="H268" s="30">
        <v>0</v>
      </c>
      <c r="I268" s="15"/>
    </row>
    <row r="269" spans="2:9" x14ac:dyDescent="0.25">
      <c r="B269" s="7">
        <v>265</v>
      </c>
      <c r="C269" s="51">
        <f t="shared" si="9"/>
        <v>46438</v>
      </c>
      <c r="D269" s="46">
        <f t="shared" si="8"/>
        <v>1503.4</v>
      </c>
      <c r="E269" s="30">
        <f>MAX(Dashboard!$J$16,(Dashboard!$I$16*Fundo!W268)/360)/30</f>
        <v>500</v>
      </c>
      <c r="F269" s="30">
        <f>MAX(Dashboard!$J$15,(Dashboard!$I$15*Fundo!W268)/360)/30</f>
        <v>500</v>
      </c>
      <c r="G269" s="81">
        <f>Fundo!R268*Dashboard!$I$14</f>
        <v>503.40000000000003</v>
      </c>
      <c r="H269" s="30">
        <v>0</v>
      </c>
      <c r="I269" s="15"/>
    </row>
    <row r="270" spans="2:9" x14ac:dyDescent="0.25">
      <c r="B270" s="7">
        <v>266</v>
      </c>
      <c r="C270" s="51">
        <f t="shared" si="9"/>
        <v>46439</v>
      </c>
      <c r="D270" s="46">
        <f t="shared" si="8"/>
        <v>1503.4</v>
      </c>
      <c r="E270" s="30">
        <f>MAX(Dashboard!$J$16,(Dashboard!$I$16*Fundo!W269)/360)/30</f>
        <v>500</v>
      </c>
      <c r="F270" s="30">
        <f>MAX(Dashboard!$J$15,(Dashboard!$I$15*Fundo!W269)/360)/30</f>
        <v>500</v>
      </c>
      <c r="G270" s="81">
        <f>Fundo!R269*Dashboard!$I$14</f>
        <v>503.40000000000003</v>
      </c>
      <c r="H270" s="30">
        <v>0</v>
      </c>
      <c r="I270" s="15"/>
    </row>
    <row r="271" spans="2:9" x14ac:dyDescent="0.25">
      <c r="B271" s="7">
        <v>267</v>
      </c>
      <c r="C271" s="51">
        <f t="shared" si="9"/>
        <v>46440</v>
      </c>
      <c r="D271" s="46">
        <f t="shared" si="8"/>
        <v>1503.4</v>
      </c>
      <c r="E271" s="30">
        <f>MAX(Dashboard!$J$16,(Dashboard!$I$16*Fundo!W270)/360)/30</f>
        <v>500</v>
      </c>
      <c r="F271" s="30">
        <f>MAX(Dashboard!$J$15,(Dashboard!$I$15*Fundo!W270)/360)/30</f>
        <v>500</v>
      </c>
      <c r="G271" s="81">
        <f>Fundo!R270*Dashboard!$I$14</f>
        <v>503.40000000000003</v>
      </c>
      <c r="H271" s="30">
        <v>0</v>
      </c>
      <c r="I271" s="15"/>
    </row>
    <row r="272" spans="2:9" x14ac:dyDescent="0.25">
      <c r="B272" s="7">
        <v>268</v>
      </c>
      <c r="C272" s="51">
        <f t="shared" si="9"/>
        <v>46441</v>
      </c>
      <c r="D272" s="46">
        <f t="shared" si="8"/>
        <v>1503.4</v>
      </c>
      <c r="E272" s="30">
        <f>MAX(Dashboard!$J$16,(Dashboard!$I$16*Fundo!W271)/360)/30</f>
        <v>500</v>
      </c>
      <c r="F272" s="30">
        <f>MAX(Dashboard!$J$15,(Dashboard!$I$15*Fundo!W271)/360)/30</f>
        <v>500</v>
      </c>
      <c r="G272" s="81">
        <f>Fundo!R271*Dashboard!$I$14</f>
        <v>503.40000000000003</v>
      </c>
      <c r="H272" s="30">
        <v>0</v>
      </c>
      <c r="I272" s="15"/>
    </row>
    <row r="273" spans="2:9" x14ac:dyDescent="0.25">
      <c r="B273" s="7">
        <v>269</v>
      </c>
      <c r="C273" s="51">
        <f t="shared" si="9"/>
        <v>46442</v>
      </c>
      <c r="D273" s="46">
        <f t="shared" si="8"/>
        <v>1503.4</v>
      </c>
      <c r="E273" s="30">
        <f>MAX(Dashboard!$J$16,(Dashboard!$I$16*Fundo!W272)/360)/30</f>
        <v>500</v>
      </c>
      <c r="F273" s="30">
        <f>MAX(Dashboard!$J$15,(Dashboard!$I$15*Fundo!W272)/360)/30</f>
        <v>500</v>
      </c>
      <c r="G273" s="81">
        <f>Fundo!R272*Dashboard!$I$14</f>
        <v>503.40000000000003</v>
      </c>
      <c r="H273" s="30">
        <v>0</v>
      </c>
      <c r="I273" s="15"/>
    </row>
    <row r="274" spans="2:9" x14ac:dyDescent="0.25">
      <c r="B274" s="7">
        <v>270</v>
      </c>
      <c r="C274" s="51">
        <f t="shared" si="9"/>
        <v>46443</v>
      </c>
      <c r="D274" s="46">
        <f t="shared" si="8"/>
        <v>1503.4</v>
      </c>
      <c r="E274" s="30">
        <f>MAX(Dashboard!$J$16,(Dashboard!$I$16*Fundo!W273)/360)/30</f>
        <v>500</v>
      </c>
      <c r="F274" s="30">
        <f>MAX(Dashboard!$J$15,(Dashboard!$I$15*Fundo!W273)/360)/30</f>
        <v>500</v>
      </c>
      <c r="G274" s="81">
        <f>Fundo!R273*Dashboard!$I$14</f>
        <v>503.40000000000003</v>
      </c>
      <c r="H274" s="30">
        <v>0</v>
      </c>
      <c r="I274" s="15"/>
    </row>
    <row r="275" spans="2:9" x14ac:dyDescent="0.25">
      <c r="B275" s="7">
        <v>271</v>
      </c>
      <c r="C275" s="51">
        <f t="shared" si="9"/>
        <v>46444</v>
      </c>
      <c r="D275" s="46">
        <f t="shared" si="8"/>
        <v>1503.4</v>
      </c>
      <c r="E275" s="30">
        <f>MAX(Dashboard!$J$16,(Dashboard!$I$16*Fundo!W274)/360)/30</f>
        <v>500</v>
      </c>
      <c r="F275" s="30">
        <f>MAX(Dashboard!$J$15,(Dashboard!$I$15*Fundo!W274)/360)/30</f>
        <v>500</v>
      </c>
      <c r="G275" s="81">
        <f>Fundo!R274*Dashboard!$I$14</f>
        <v>503.40000000000003</v>
      </c>
      <c r="H275" s="30">
        <v>0</v>
      </c>
      <c r="I275" s="15"/>
    </row>
    <row r="276" spans="2:9" x14ac:dyDescent="0.25">
      <c r="B276" s="7">
        <v>272</v>
      </c>
      <c r="C276" s="51">
        <f t="shared" si="9"/>
        <v>46445</v>
      </c>
      <c r="D276" s="46">
        <f t="shared" si="8"/>
        <v>1503.4</v>
      </c>
      <c r="E276" s="30">
        <f>MAX(Dashboard!$J$16,(Dashboard!$I$16*Fundo!W275)/360)/30</f>
        <v>500</v>
      </c>
      <c r="F276" s="30">
        <f>MAX(Dashboard!$J$15,(Dashboard!$I$15*Fundo!W275)/360)/30</f>
        <v>500</v>
      </c>
      <c r="G276" s="81">
        <f>Fundo!R275*Dashboard!$I$14</f>
        <v>503.40000000000003</v>
      </c>
      <c r="H276" s="30">
        <v>0</v>
      </c>
      <c r="I276" s="15"/>
    </row>
    <row r="277" spans="2:9" x14ac:dyDescent="0.25">
      <c r="B277" s="7">
        <v>273</v>
      </c>
      <c r="C277" s="51">
        <f t="shared" si="9"/>
        <v>46446</v>
      </c>
      <c r="D277" s="46">
        <f t="shared" si="8"/>
        <v>1503.4</v>
      </c>
      <c r="E277" s="30">
        <f>MAX(Dashboard!$J$16,(Dashboard!$I$16*Fundo!W276)/360)/30</f>
        <v>500</v>
      </c>
      <c r="F277" s="30">
        <f>MAX(Dashboard!$J$15,(Dashboard!$I$15*Fundo!W276)/360)/30</f>
        <v>500</v>
      </c>
      <c r="G277" s="81">
        <f>Fundo!R276*Dashboard!$I$14</f>
        <v>503.40000000000003</v>
      </c>
      <c r="H277" s="30">
        <v>0</v>
      </c>
      <c r="I277" s="15"/>
    </row>
    <row r="278" spans="2:9" x14ac:dyDescent="0.25">
      <c r="B278" s="7">
        <v>274</v>
      </c>
      <c r="C278" s="51">
        <f t="shared" si="9"/>
        <v>46447</v>
      </c>
      <c r="D278" s="46">
        <f t="shared" si="8"/>
        <v>1503.4</v>
      </c>
      <c r="E278" s="30">
        <f>MAX(Dashboard!$J$16,(Dashboard!$I$16*Fundo!W277)/360)/30</f>
        <v>500</v>
      </c>
      <c r="F278" s="30">
        <f>MAX(Dashboard!$J$15,(Dashboard!$I$15*Fundo!W277)/360)/30</f>
        <v>500</v>
      </c>
      <c r="G278" s="81">
        <f>Fundo!R277*Dashboard!$I$14</f>
        <v>503.40000000000003</v>
      </c>
      <c r="H278" s="30">
        <v>0</v>
      </c>
      <c r="I278" s="15"/>
    </row>
    <row r="279" spans="2:9" x14ac:dyDescent="0.25">
      <c r="B279" s="7">
        <v>275</v>
      </c>
      <c r="C279" s="51">
        <f t="shared" si="9"/>
        <v>46448</v>
      </c>
      <c r="D279" s="46">
        <f t="shared" si="8"/>
        <v>1503.4</v>
      </c>
      <c r="E279" s="30">
        <f>MAX(Dashboard!$J$16,(Dashboard!$I$16*Fundo!W278)/360)/30</f>
        <v>500</v>
      </c>
      <c r="F279" s="30">
        <f>MAX(Dashboard!$J$15,(Dashboard!$I$15*Fundo!W278)/360)/30</f>
        <v>500</v>
      </c>
      <c r="G279" s="81">
        <f>Fundo!R278*Dashboard!$I$14</f>
        <v>503.40000000000003</v>
      </c>
      <c r="H279" s="30">
        <v>0</v>
      </c>
      <c r="I279" s="15"/>
    </row>
    <row r="280" spans="2:9" x14ac:dyDescent="0.25">
      <c r="B280" s="7">
        <v>276</v>
      </c>
      <c r="C280" s="51">
        <f t="shared" si="9"/>
        <v>46449</v>
      </c>
      <c r="D280" s="46">
        <f t="shared" si="8"/>
        <v>1503.4</v>
      </c>
      <c r="E280" s="30">
        <f>MAX(Dashboard!$J$16,(Dashboard!$I$16*Fundo!W279)/360)/30</f>
        <v>500</v>
      </c>
      <c r="F280" s="30">
        <f>MAX(Dashboard!$J$15,(Dashboard!$I$15*Fundo!W279)/360)/30</f>
        <v>500</v>
      </c>
      <c r="G280" s="81">
        <f>Fundo!R279*Dashboard!$I$14</f>
        <v>503.40000000000003</v>
      </c>
      <c r="H280" s="30">
        <v>0</v>
      </c>
      <c r="I280" s="15"/>
    </row>
    <row r="281" spans="2:9" x14ac:dyDescent="0.25">
      <c r="B281" s="7">
        <v>277</v>
      </c>
      <c r="C281" s="51">
        <f t="shared" si="9"/>
        <v>46450</v>
      </c>
      <c r="D281" s="46">
        <f t="shared" si="8"/>
        <v>1503.4</v>
      </c>
      <c r="E281" s="30">
        <f>MAX(Dashboard!$J$16,(Dashboard!$I$16*Fundo!W280)/360)/30</f>
        <v>500</v>
      </c>
      <c r="F281" s="30">
        <f>MAX(Dashboard!$J$15,(Dashboard!$I$15*Fundo!W280)/360)/30</f>
        <v>500</v>
      </c>
      <c r="G281" s="81">
        <f>Fundo!R280*Dashboard!$I$14</f>
        <v>503.40000000000003</v>
      </c>
      <c r="H281" s="30">
        <v>0</v>
      </c>
      <c r="I281" s="15"/>
    </row>
    <row r="282" spans="2:9" x14ac:dyDescent="0.25">
      <c r="B282" s="7">
        <v>278</v>
      </c>
      <c r="C282" s="51">
        <f t="shared" si="9"/>
        <v>46451</v>
      </c>
      <c r="D282" s="46">
        <f t="shared" si="8"/>
        <v>1503.4</v>
      </c>
      <c r="E282" s="30">
        <f>MAX(Dashboard!$J$16,(Dashboard!$I$16*Fundo!W281)/360)/30</f>
        <v>500</v>
      </c>
      <c r="F282" s="30">
        <f>MAX(Dashboard!$J$15,(Dashboard!$I$15*Fundo!W281)/360)/30</f>
        <v>500</v>
      </c>
      <c r="G282" s="81">
        <f>Fundo!R281*Dashboard!$I$14</f>
        <v>503.40000000000003</v>
      </c>
      <c r="H282" s="30">
        <v>0</v>
      </c>
      <c r="I282" s="15"/>
    </row>
    <row r="283" spans="2:9" x14ac:dyDescent="0.25">
      <c r="B283" s="7">
        <v>279</v>
      </c>
      <c r="C283" s="51">
        <f t="shared" si="9"/>
        <v>46452</v>
      </c>
      <c r="D283" s="46">
        <f t="shared" si="8"/>
        <v>1503.4</v>
      </c>
      <c r="E283" s="30">
        <f>MAX(Dashboard!$J$16,(Dashboard!$I$16*Fundo!W282)/360)/30</f>
        <v>500</v>
      </c>
      <c r="F283" s="30">
        <f>MAX(Dashboard!$J$15,(Dashboard!$I$15*Fundo!W282)/360)/30</f>
        <v>500</v>
      </c>
      <c r="G283" s="81">
        <f>Fundo!R282*Dashboard!$I$14</f>
        <v>503.40000000000003</v>
      </c>
      <c r="H283" s="30">
        <v>0</v>
      </c>
      <c r="I283" s="15"/>
    </row>
    <row r="284" spans="2:9" x14ac:dyDescent="0.25">
      <c r="B284" s="7">
        <v>280</v>
      </c>
      <c r="C284" s="51">
        <f t="shared" si="9"/>
        <v>46453</v>
      </c>
      <c r="D284" s="46">
        <f t="shared" si="8"/>
        <v>1503.4</v>
      </c>
      <c r="E284" s="30">
        <f>MAX(Dashboard!$J$16,(Dashboard!$I$16*Fundo!W283)/360)/30</f>
        <v>500</v>
      </c>
      <c r="F284" s="30">
        <f>MAX(Dashboard!$J$15,(Dashboard!$I$15*Fundo!W283)/360)/30</f>
        <v>500</v>
      </c>
      <c r="G284" s="81">
        <f>Fundo!R283*Dashboard!$I$14</f>
        <v>503.40000000000003</v>
      </c>
      <c r="H284" s="30">
        <v>0</v>
      </c>
      <c r="I284" s="15"/>
    </row>
    <row r="285" spans="2:9" x14ac:dyDescent="0.25">
      <c r="B285" s="7">
        <v>281</v>
      </c>
      <c r="C285" s="51">
        <f t="shared" si="9"/>
        <v>46454</v>
      </c>
      <c r="D285" s="46">
        <f t="shared" si="8"/>
        <v>1503.4</v>
      </c>
      <c r="E285" s="30">
        <f>MAX(Dashboard!$J$16,(Dashboard!$I$16*Fundo!W284)/360)/30</f>
        <v>500</v>
      </c>
      <c r="F285" s="30">
        <f>MAX(Dashboard!$J$15,(Dashboard!$I$15*Fundo!W284)/360)/30</f>
        <v>500</v>
      </c>
      <c r="G285" s="81">
        <f>Fundo!R284*Dashboard!$I$14</f>
        <v>503.40000000000003</v>
      </c>
      <c r="H285" s="30">
        <v>0</v>
      </c>
      <c r="I285" s="15"/>
    </row>
    <row r="286" spans="2:9" x14ac:dyDescent="0.25">
      <c r="B286" s="7">
        <v>282</v>
      </c>
      <c r="C286" s="51">
        <f t="shared" si="9"/>
        <v>46455</v>
      </c>
      <c r="D286" s="46">
        <f t="shared" si="8"/>
        <v>1503.4</v>
      </c>
      <c r="E286" s="30">
        <f>MAX(Dashboard!$J$16,(Dashboard!$I$16*Fundo!W285)/360)/30</f>
        <v>500</v>
      </c>
      <c r="F286" s="30">
        <f>MAX(Dashboard!$J$15,(Dashboard!$I$15*Fundo!W285)/360)/30</f>
        <v>500</v>
      </c>
      <c r="G286" s="81">
        <f>Fundo!R285*Dashboard!$I$14</f>
        <v>503.40000000000003</v>
      </c>
      <c r="H286" s="30">
        <v>0</v>
      </c>
      <c r="I286" s="15"/>
    </row>
    <row r="287" spans="2:9" x14ac:dyDescent="0.25">
      <c r="B287" s="7">
        <v>283</v>
      </c>
      <c r="C287" s="51">
        <f t="shared" si="9"/>
        <v>46456</v>
      </c>
      <c r="D287" s="46">
        <f t="shared" si="8"/>
        <v>1503.4</v>
      </c>
      <c r="E287" s="30">
        <f>MAX(Dashboard!$J$16,(Dashboard!$I$16*Fundo!W286)/360)/30</f>
        <v>500</v>
      </c>
      <c r="F287" s="30">
        <f>MAX(Dashboard!$J$15,(Dashboard!$I$15*Fundo!W286)/360)/30</f>
        <v>500</v>
      </c>
      <c r="G287" s="81">
        <f>Fundo!R286*Dashboard!$I$14</f>
        <v>503.40000000000003</v>
      </c>
      <c r="H287" s="30">
        <v>0</v>
      </c>
      <c r="I287" s="15"/>
    </row>
    <row r="288" spans="2:9" x14ac:dyDescent="0.25">
      <c r="B288" s="7">
        <v>284</v>
      </c>
      <c r="C288" s="51">
        <f t="shared" si="9"/>
        <v>46457</v>
      </c>
      <c r="D288" s="46">
        <f t="shared" si="8"/>
        <v>1503.4</v>
      </c>
      <c r="E288" s="30">
        <f>MAX(Dashboard!$J$16,(Dashboard!$I$16*Fundo!W287)/360)/30</f>
        <v>500</v>
      </c>
      <c r="F288" s="30">
        <f>MAX(Dashboard!$J$15,(Dashboard!$I$15*Fundo!W287)/360)/30</f>
        <v>500</v>
      </c>
      <c r="G288" s="81">
        <f>Fundo!R287*Dashboard!$I$14</f>
        <v>503.40000000000003</v>
      </c>
      <c r="H288" s="30">
        <v>0</v>
      </c>
      <c r="I288" s="15"/>
    </row>
    <row r="289" spans="2:9" x14ac:dyDescent="0.25">
      <c r="B289" s="7">
        <v>285</v>
      </c>
      <c r="C289" s="51">
        <f t="shared" si="9"/>
        <v>46458</v>
      </c>
      <c r="D289" s="46">
        <f t="shared" si="8"/>
        <v>1503.4</v>
      </c>
      <c r="E289" s="30">
        <f>MAX(Dashboard!$J$16,(Dashboard!$I$16*Fundo!W288)/360)/30</f>
        <v>500</v>
      </c>
      <c r="F289" s="30">
        <f>MAX(Dashboard!$J$15,(Dashboard!$I$15*Fundo!W288)/360)/30</f>
        <v>500</v>
      </c>
      <c r="G289" s="81">
        <f>Fundo!R288*Dashboard!$I$14</f>
        <v>503.40000000000003</v>
      </c>
      <c r="H289" s="30">
        <v>0</v>
      </c>
      <c r="I289" s="15"/>
    </row>
    <row r="290" spans="2:9" x14ac:dyDescent="0.25">
      <c r="B290" s="7">
        <v>286</v>
      </c>
      <c r="C290" s="51">
        <f t="shared" si="9"/>
        <v>46459</v>
      </c>
      <c r="D290" s="46">
        <f t="shared" si="8"/>
        <v>1503.4</v>
      </c>
      <c r="E290" s="30">
        <f>MAX(Dashboard!$J$16,(Dashboard!$I$16*Fundo!W289)/360)/30</f>
        <v>500</v>
      </c>
      <c r="F290" s="30">
        <f>MAX(Dashboard!$J$15,(Dashboard!$I$15*Fundo!W289)/360)/30</f>
        <v>500</v>
      </c>
      <c r="G290" s="81">
        <f>Fundo!R289*Dashboard!$I$14</f>
        <v>503.40000000000003</v>
      </c>
      <c r="H290" s="30">
        <v>0</v>
      </c>
      <c r="I290" s="15"/>
    </row>
    <row r="291" spans="2:9" x14ac:dyDescent="0.25">
      <c r="B291" s="7">
        <v>287</v>
      </c>
      <c r="C291" s="51">
        <f t="shared" si="9"/>
        <v>46460</v>
      </c>
      <c r="D291" s="46">
        <f t="shared" si="8"/>
        <v>1503.4</v>
      </c>
      <c r="E291" s="30">
        <f>MAX(Dashboard!$J$16,(Dashboard!$I$16*Fundo!W290)/360)/30</f>
        <v>500</v>
      </c>
      <c r="F291" s="30">
        <f>MAX(Dashboard!$J$15,(Dashboard!$I$15*Fundo!W290)/360)/30</f>
        <v>500</v>
      </c>
      <c r="G291" s="81">
        <f>Fundo!R290*Dashboard!$I$14</f>
        <v>503.40000000000003</v>
      </c>
      <c r="H291" s="30">
        <v>0</v>
      </c>
      <c r="I291" s="15"/>
    </row>
    <row r="292" spans="2:9" x14ac:dyDescent="0.25">
      <c r="B292" s="7">
        <v>288</v>
      </c>
      <c r="C292" s="51">
        <f t="shared" si="9"/>
        <v>46461</v>
      </c>
      <c r="D292" s="46">
        <f t="shared" si="8"/>
        <v>1503.4</v>
      </c>
      <c r="E292" s="30">
        <f>MAX(Dashboard!$J$16,(Dashboard!$I$16*Fundo!W291)/360)/30</f>
        <v>500</v>
      </c>
      <c r="F292" s="30">
        <f>MAX(Dashboard!$J$15,(Dashboard!$I$15*Fundo!W291)/360)/30</f>
        <v>500</v>
      </c>
      <c r="G292" s="81">
        <f>Fundo!R291*Dashboard!$I$14</f>
        <v>503.40000000000003</v>
      </c>
      <c r="H292" s="30">
        <v>0</v>
      </c>
      <c r="I292" s="15"/>
    </row>
    <row r="293" spans="2:9" x14ac:dyDescent="0.25">
      <c r="B293" s="7">
        <v>289</v>
      </c>
      <c r="C293" s="51">
        <f t="shared" si="9"/>
        <v>46462</v>
      </c>
      <c r="D293" s="46">
        <f t="shared" si="8"/>
        <v>1503.4</v>
      </c>
      <c r="E293" s="30">
        <f>MAX(Dashboard!$J$16,(Dashboard!$I$16*Fundo!W292)/360)/30</f>
        <v>500</v>
      </c>
      <c r="F293" s="30">
        <f>MAX(Dashboard!$J$15,(Dashboard!$I$15*Fundo!W292)/360)/30</f>
        <v>500</v>
      </c>
      <c r="G293" s="81">
        <f>Fundo!R292*Dashboard!$I$14</f>
        <v>503.40000000000003</v>
      </c>
      <c r="H293" s="30">
        <v>0</v>
      </c>
      <c r="I293" s="15"/>
    </row>
    <row r="294" spans="2:9" x14ac:dyDescent="0.25">
      <c r="B294" s="7">
        <v>290</v>
      </c>
      <c r="C294" s="51">
        <f t="shared" si="9"/>
        <v>46463</v>
      </c>
      <c r="D294" s="46">
        <f t="shared" si="8"/>
        <v>1503.4</v>
      </c>
      <c r="E294" s="30">
        <f>MAX(Dashboard!$J$16,(Dashboard!$I$16*Fundo!W293)/360)/30</f>
        <v>500</v>
      </c>
      <c r="F294" s="30">
        <f>MAX(Dashboard!$J$15,(Dashboard!$I$15*Fundo!W293)/360)/30</f>
        <v>500</v>
      </c>
      <c r="G294" s="81">
        <f>Fundo!R293*Dashboard!$I$14</f>
        <v>503.40000000000003</v>
      </c>
      <c r="H294" s="30">
        <v>0</v>
      </c>
      <c r="I294" s="15"/>
    </row>
    <row r="295" spans="2:9" x14ac:dyDescent="0.25">
      <c r="B295" s="7">
        <v>291</v>
      </c>
      <c r="C295" s="51">
        <f t="shared" si="9"/>
        <v>46464</v>
      </c>
      <c r="D295" s="46">
        <f t="shared" si="8"/>
        <v>1503.4</v>
      </c>
      <c r="E295" s="30">
        <f>MAX(Dashboard!$J$16,(Dashboard!$I$16*Fundo!W294)/360)/30</f>
        <v>500</v>
      </c>
      <c r="F295" s="30">
        <f>MAX(Dashboard!$J$15,(Dashboard!$I$15*Fundo!W294)/360)/30</f>
        <v>500</v>
      </c>
      <c r="G295" s="81">
        <f>Fundo!R294*Dashboard!$I$14</f>
        <v>503.40000000000003</v>
      </c>
      <c r="H295" s="30">
        <v>0</v>
      </c>
      <c r="I295" s="15"/>
    </row>
    <row r="296" spans="2:9" x14ac:dyDescent="0.25">
      <c r="B296" s="7">
        <v>292</v>
      </c>
      <c r="C296" s="51">
        <f t="shared" si="9"/>
        <v>46465</v>
      </c>
      <c r="D296" s="46">
        <f t="shared" si="8"/>
        <v>1503.4</v>
      </c>
      <c r="E296" s="30">
        <f>MAX(Dashboard!$J$16,(Dashboard!$I$16*Fundo!W295)/360)/30</f>
        <v>500</v>
      </c>
      <c r="F296" s="30">
        <f>MAX(Dashboard!$J$15,(Dashboard!$I$15*Fundo!W295)/360)/30</f>
        <v>500</v>
      </c>
      <c r="G296" s="81">
        <f>Fundo!R295*Dashboard!$I$14</f>
        <v>503.40000000000003</v>
      </c>
      <c r="H296" s="30">
        <v>0</v>
      </c>
      <c r="I296" s="15"/>
    </row>
    <row r="297" spans="2:9" x14ac:dyDescent="0.25">
      <c r="B297" s="7">
        <v>293</v>
      </c>
      <c r="C297" s="51">
        <f t="shared" si="9"/>
        <v>46466</v>
      </c>
      <c r="D297" s="46">
        <f t="shared" si="8"/>
        <v>1503.4</v>
      </c>
      <c r="E297" s="30">
        <f>MAX(Dashboard!$J$16,(Dashboard!$I$16*Fundo!W296)/360)/30</f>
        <v>500</v>
      </c>
      <c r="F297" s="30">
        <f>MAX(Dashboard!$J$15,(Dashboard!$I$15*Fundo!W296)/360)/30</f>
        <v>500</v>
      </c>
      <c r="G297" s="81">
        <f>Fundo!R296*Dashboard!$I$14</f>
        <v>503.40000000000003</v>
      </c>
      <c r="H297" s="30">
        <v>0</v>
      </c>
      <c r="I297" s="15"/>
    </row>
    <row r="298" spans="2:9" x14ac:dyDescent="0.25">
      <c r="B298" s="7">
        <v>294</v>
      </c>
      <c r="C298" s="51">
        <f t="shared" si="9"/>
        <v>46467</v>
      </c>
      <c r="D298" s="46">
        <f t="shared" si="8"/>
        <v>1503.4</v>
      </c>
      <c r="E298" s="30">
        <f>MAX(Dashboard!$J$16,(Dashboard!$I$16*Fundo!W297)/360)/30</f>
        <v>500</v>
      </c>
      <c r="F298" s="30">
        <f>MAX(Dashboard!$J$15,(Dashboard!$I$15*Fundo!W297)/360)/30</f>
        <v>500</v>
      </c>
      <c r="G298" s="81">
        <f>Fundo!R297*Dashboard!$I$14</f>
        <v>503.40000000000003</v>
      </c>
      <c r="H298" s="30">
        <v>0</v>
      </c>
      <c r="I298" s="15"/>
    </row>
    <row r="299" spans="2:9" x14ac:dyDescent="0.25">
      <c r="B299" s="7">
        <v>295</v>
      </c>
      <c r="C299" s="51">
        <f t="shared" si="9"/>
        <v>46468</v>
      </c>
      <c r="D299" s="46">
        <f t="shared" si="8"/>
        <v>1503.4</v>
      </c>
      <c r="E299" s="30">
        <f>MAX(Dashboard!$J$16,(Dashboard!$I$16*Fundo!W298)/360)/30</f>
        <v>500</v>
      </c>
      <c r="F299" s="30">
        <f>MAX(Dashboard!$J$15,(Dashboard!$I$15*Fundo!W298)/360)/30</f>
        <v>500</v>
      </c>
      <c r="G299" s="81">
        <f>Fundo!R298*Dashboard!$I$14</f>
        <v>503.40000000000003</v>
      </c>
      <c r="H299" s="30">
        <v>0</v>
      </c>
      <c r="I299" s="15"/>
    </row>
    <row r="300" spans="2:9" x14ac:dyDescent="0.25">
      <c r="B300" s="7">
        <v>296</v>
      </c>
      <c r="C300" s="51">
        <f t="shared" si="9"/>
        <v>46469</v>
      </c>
      <c r="D300" s="46">
        <f t="shared" si="8"/>
        <v>1503.4</v>
      </c>
      <c r="E300" s="30">
        <f>MAX(Dashboard!$J$16,(Dashboard!$I$16*Fundo!W299)/360)/30</f>
        <v>500</v>
      </c>
      <c r="F300" s="30">
        <f>MAX(Dashboard!$J$15,(Dashboard!$I$15*Fundo!W299)/360)/30</f>
        <v>500</v>
      </c>
      <c r="G300" s="81">
        <f>Fundo!R299*Dashboard!$I$14</f>
        <v>503.40000000000003</v>
      </c>
      <c r="H300" s="30">
        <v>0</v>
      </c>
      <c r="I300" s="15"/>
    </row>
    <row r="301" spans="2:9" x14ac:dyDescent="0.25">
      <c r="B301" s="7">
        <v>297</v>
      </c>
      <c r="C301" s="51">
        <f t="shared" si="9"/>
        <v>46470</v>
      </c>
      <c r="D301" s="46">
        <f t="shared" si="8"/>
        <v>1503.4</v>
      </c>
      <c r="E301" s="30">
        <f>MAX(Dashboard!$J$16,(Dashboard!$I$16*Fundo!W300)/360)/30</f>
        <v>500</v>
      </c>
      <c r="F301" s="30">
        <f>MAX(Dashboard!$J$15,(Dashboard!$I$15*Fundo!W300)/360)/30</f>
        <v>500</v>
      </c>
      <c r="G301" s="81">
        <f>Fundo!R300*Dashboard!$I$14</f>
        <v>503.40000000000003</v>
      </c>
      <c r="H301" s="30">
        <v>0</v>
      </c>
      <c r="I301" s="15"/>
    </row>
    <row r="302" spans="2:9" x14ac:dyDescent="0.25">
      <c r="B302" s="7">
        <v>298</v>
      </c>
      <c r="C302" s="51">
        <f t="shared" si="9"/>
        <v>46471</v>
      </c>
      <c r="D302" s="46">
        <f t="shared" si="8"/>
        <v>1503.4</v>
      </c>
      <c r="E302" s="30">
        <f>MAX(Dashboard!$J$16,(Dashboard!$I$16*Fundo!W301)/360)/30</f>
        <v>500</v>
      </c>
      <c r="F302" s="30">
        <f>MAX(Dashboard!$J$15,(Dashboard!$I$15*Fundo!W301)/360)/30</f>
        <v>500</v>
      </c>
      <c r="G302" s="81">
        <f>Fundo!R301*Dashboard!$I$14</f>
        <v>503.40000000000003</v>
      </c>
      <c r="H302" s="30">
        <v>0</v>
      </c>
      <c r="I302" s="15"/>
    </row>
    <row r="303" spans="2:9" x14ac:dyDescent="0.25">
      <c r="B303" s="7">
        <v>299</v>
      </c>
      <c r="C303" s="51">
        <f t="shared" si="9"/>
        <v>46472</v>
      </c>
      <c r="D303" s="46">
        <f t="shared" si="8"/>
        <v>1503.4</v>
      </c>
      <c r="E303" s="30">
        <f>MAX(Dashboard!$J$16,(Dashboard!$I$16*Fundo!W302)/360)/30</f>
        <v>500</v>
      </c>
      <c r="F303" s="30">
        <f>MAX(Dashboard!$J$15,(Dashboard!$I$15*Fundo!W302)/360)/30</f>
        <v>500</v>
      </c>
      <c r="G303" s="81">
        <f>Fundo!R302*Dashboard!$I$14</f>
        <v>503.40000000000003</v>
      </c>
      <c r="H303" s="30">
        <v>0</v>
      </c>
      <c r="I303" s="15"/>
    </row>
    <row r="304" spans="2:9" x14ac:dyDescent="0.25">
      <c r="B304" s="7">
        <v>300</v>
      </c>
      <c r="C304" s="51">
        <f t="shared" si="9"/>
        <v>46473</v>
      </c>
      <c r="D304" s="46">
        <f t="shared" si="8"/>
        <v>1503.4</v>
      </c>
      <c r="E304" s="30">
        <f>MAX(Dashboard!$J$16,(Dashboard!$I$16*Fundo!W303)/360)/30</f>
        <v>500</v>
      </c>
      <c r="F304" s="30">
        <f>MAX(Dashboard!$J$15,(Dashboard!$I$15*Fundo!W303)/360)/30</f>
        <v>500</v>
      </c>
      <c r="G304" s="81">
        <f>Fundo!R303*Dashboard!$I$14</f>
        <v>503.40000000000003</v>
      </c>
      <c r="H304" s="30">
        <v>0</v>
      </c>
      <c r="I304" s="15"/>
    </row>
    <row r="305" spans="2:9" x14ac:dyDescent="0.25">
      <c r="B305" s="7">
        <v>301</v>
      </c>
      <c r="C305" s="51">
        <f t="shared" si="9"/>
        <v>46474</v>
      </c>
      <c r="D305" s="46">
        <f t="shared" si="8"/>
        <v>1503.4</v>
      </c>
      <c r="E305" s="30">
        <f>MAX(Dashboard!$J$16,(Dashboard!$I$16*Fundo!W304)/360)/30</f>
        <v>500</v>
      </c>
      <c r="F305" s="30">
        <f>MAX(Dashboard!$J$15,(Dashboard!$I$15*Fundo!W304)/360)/30</f>
        <v>500</v>
      </c>
      <c r="G305" s="81">
        <f>Fundo!R304*Dashboard!$I$14</f>
        <v>503.40000000000003</v>
      </c>
      <c r="H305" s="30">
        <v>0</v>
      </c>
      <c r="I305" s="15"/>
    </row>
    <row r="306" spans="2:9" x14ac:dyDescent="0.25">
      <c r="B306" s="7">
        <v>302</v>
      </c>
      <c r="C306" s="51">
        <f t="shared" si="9"/>
        <v>46475</v>
      </c>
      <c r="D306" s="46">
        <f t="shared" si="8"/>
        <v>1503.4</v>
      </c>
      <c r="E306" s="30">
        <f>MAX(Dashboard!$J$16,(Dashboard!$I$16*Fundo!W305)/360)/30</f>
        <v>500</v>
      </c>
      <c r="F306" s="30">
        <f>MAX(Dashboard!$J$15,(Dashboard!$I$15*Fundo!W305)/360)/30</f>
        <v>500</v>
      </c>
      <c r="G306" s="81">
        <f>Fundo!R305*Dashboard!$I$14</f>
        <v>503.40000000000003</v>
      </c>
      <c r="H306" s="30">
        <v>0</v>
      </c>
      <c r="I306" s="15"/>
    </row>
    <row r="307" spans="2:9" x14ac:dyDescent="0.25">
      <c r="B307" s="7">
        <v>303</v>
      </c>
      <c r="C307" s="51">
        <f t="shared" si="9"/>
        <v>46476</v>
      </c>
      <c r="D307" s="46">
        <f t="shared" si="8"/>
        <v>1503.4</v>
      </c>
      <c r="E307" s="30">
        <f>MAX(Dashboard!$J$16,(Dashboard!$I$16*Fundo!W306)/360)/30</f>
        <v>500</v>
      </c>
      <c r="F307" s="30">
        <f>MAX(Dashboard!$J$15,(Dashboard!$I$15*Fundo!W306)/360)/30</f>
        <v>500</v>
      </c>
      <c r="G307" s="81">
        <f>Fundo!R306*Dashboard!$I$14</f>
        <v>503.40000000000003</v>
      </c>
      <c r="H307" s="30">
        <v>0</v>
      </c>
      <c r="I307" s="15"/>
    </row>
    <row r="308" spans="2:9" x14ac:dyDescent="0.25">
      <c r="B308" s="7">
        <v>304</v>
      </c>
      <c r="C308" s="51">
        <f t="shared" si="9"/>
        <v>46477</v>
      </c>
      <c r="D308" s="46">
        <f t="shared" si="8"/>
        <v>1503.4</v>
      </c>
      <c r="E308" s="30">
        <f>MAX(Dashboard!$J$16,(Dashboard!$I$16*Fundo!W307)/360)/30</f>
        <v>500</v>
      </c>
      <c r="F308" s="30">
        <f>MAX(Dashboard!$J$15,(Dashboard!$I$15*Fundo!W307)/360)/30</f>
        <v>500</v>
      </c>
      <c r="G308" s="81">
        <f>Fundo!R307*Dashboard!$I$14</f>
        <v>503.40000000000003</v>
      </c>
      <c r="H308" s="30">
        <v>0</v>
      </c>
      <c r="I308" s="15"/>
    </row>
    <row r="309" spans="2:9" x14ac:dyDescent="0.25">
      <c r="B309" s="7">
        <v>305</v>
      </c>
      <c r="C309" s="51">
        <f t="shared" si="9"/>
        <v>46478</v>
      </c>
      <c r="D309" s="46">
        <f t="shared" si="8"/>
        <v>1503.4</v>
      </c>
      <c r="E309" s="30">
        <f>MAX(Dashboard!$J$16,(Dashboard!$I$16*Fundo!W308)/360)/30</f>
        <v>500</v>
      </c>
      <c r="F309" s="30">
        <f>MAX(Dashboard!$J$15,(Dashboard!$I$15*Fundo!W308)/360)/30</f>
        <v>500</v>
      </c>
      <c r="G309" s="81">
        <f>Fundo!R308*Dashboard!$I$14</f>
        <v>503.40000000000003</v>
      </c>
      <c r="H309" s="30">
        <v>0</v>
      </c>
      <c r="I309" s="15"/>
    </row>
    <row r="310" spans="2:9" x14ac:dyDescent="0.25">
      <c r="B310" s="7">
        <v>306</v>
      </c>
      <c r="C310" s="51">
        <f t="shared" si="9"/>
        <v>46479</v>
      </c>
      <c r="D310" s="46">
        <f t="shared" si="8"/>
        <v>1503.4</v>
      </c>
      <c r="E310" s="30">
        <f>MAX(Dashboard!$J$16,(Dashboard!$I$16*Fundo!W309)/360)/30</f>
        <v>500</v>
      </c>
      <c r="F310" s="30">
        <f>MAX(Dashboard!$J$15,(Dashboard!$I$15*Fundo!W309)/360)/30</f>
        <v>500</v>
      </c>
      <c r="G310" s="81">
        <f>Fundo!R309*Dashboard!$I$14</f>
        <v>503.40000000000003</v>
      </c>
      <c r="H310" s="30">
        <v>0</v>
      </c>
      <c r="I310" s="15"/>
    </row>
    <row r="311" spans="2:9" x14ac:dyDescent="0.25">
      <c r="B311" s="7">
        <v>307</v>
      </c>
      <c r="C311" s="51">
        <f t="shared" si="9"/>
        <v>46480</v>
      </c>
      <c r="D311" s="46">
        <f t="shared" si="8"/>
        <v>1503.4</v>
      </c>
      <c r="E311" s="30">
        <f>MAX(Dashboard!$J$16,(Dashboard!$I$16*Fundo!W310)/360)/30</f>
        <v>500</v>
      </c>
      <c r="F311" s="30">
        <f>MAX(Dashboard!$J$15,(Dashboard!$I$15*Fundo!W310)/360)/30</f>
        <v>500</v>
      </c>
      <c r="G311" s="81">
        <f>Fundo!R310*Dashboard!$I$14</f>
        <v>503.40000000000003</v>
      </c>
      <c r="H311" s="30">
        <v>0</v>
      </c>
      <c r="I311" s="15"/>
    </row>
    <row r="312" spans="2:9" x14ac:dyDescent="0.25">
      <c r="B312" s="7">
        <v>308</v>
      </c>
      <c r="C312" s="51">
        <f t="shared" si="9"/>
        <v>46481</v>
      </c>
      <c r="D312" s="46">
        <f t="shared" si="8"/>
        <v>1503.4</v>
      </c>
      <c r="E312" s="30">
        <f>MAX(Dashboard!$J$16,(Dashboard!$I$16*Fundo!W311)/360)/30</f>
        <v>500</v>
      </c>
      <c r="F312" s="30">
        <f>MAX(Dashboard!$J$15,(Dashboard!$I$15*Fundo!W311)/360)/30</f>
        <v>500</v>
      </c>
      <c r="G312" s="81">
        <f>Fundo!R311*Dashboard!$I$14</f>
        <v>503.40000000000003</v>
      </c>
      <c r="H312" s="30">
        <v>0</v>
      </c>
      <c r="I312" s="15"/>
    </row>
    <row r="313" spans="2:9" x14ac:dyDescent="0.25">
      <c r="B313" s="7">
        <v>309</v>
      </c>
      <c r="C313" s="51">
        <f t="shared" si="9"/>
        <v>46482</v>
      </c>
      <c r="D313" s="46">
        <f t="shared" si="8"/>
        <v>1503.4</v>
      </c>
      <c r="E313" s="30">
        <f>MAX(Dashboard!$J$16,(Dashboard!$I$16*Fundo!W312)/360)/30</f>
        <v>500</v>
      </c>
      <c r="F313" s="30">
        <f>MAX(Dashboard!$J$15,(Dashboard!$I$15*Fundo!W312)/360)/30</f>
        <v>500</v>
      </c>
      <c r="G313" s="81">
        <f>Fundo!R312*Dashboard!$I$14</f>
        <v>503.40000000000003</v>
      </c>
      <c r="H313" s="30">
        <v>0</v>
      </c>
      <c r="I313" s="15"/>
    </row>
    <row r="314" spans="2:9" x14ac:dyDescent="0.25">
      <c r="B314" s="7">
        <v>310</v>
      </c>
      <c r="C314" s="51">
        <f t="shared" si="9"/>
        <v>46483</v>
      </c>
      <c r="D314" s="46">
        <f t="shared" si="8"/>
        <v>1503.4</v>
      </c>
      <c r="E314" s="30">
        <f>MAX(Dashboard!$J$16,(Dashboard!$I$16*Fundo!W313)/360)/30</f>
        <v>500</v>
      </c>
      <c r="F314" s="30">
        <f>MAX(Dashboard!$J$15,(Dashboard!$I$15*Fundo!W313)/360)/30</f>
        <v>500</v>
      </c>
      <c r="G314" s="81">
        <f>Fundo!R313*Dashboard!$I$14</f>
        <v>503.40000000000003</v>
      </c>
      <c r="H314" s="30">
        <v>0</v>
      </c>
      <c r="I314" s="15"/>
    </row>
    <row r="315" spans="2:9" x14ac:dyDescent="0.25">
      <c r="B315" s="7">
        <v>311</v>
      </c>
      <c r="C315" s="51">
        <f t="shared" si="9"/>
        <v>46484</v>
      </c>
      <c r="D315" s="46">
        <f t="shared" si="8"/>
        <v>1503.4</v>
      </c>
      <c r="E315" s="30">
        <f>MAX(Dashboard!$J$16,(Dashboard!$I$16*Fundo!W314)/360)/30</f>
        <v>500</v>
      </c>
      <c r="F315" s="30">
        <f>MAX(Dashboard!$J$15,(Dashboard!$I$15*Fundo!W314)/360)/30</f>
        <v>500</v>
      </c>
      <c r="G315" s="81">
        <f>Fundo!R314*Dashboard!$I$14</f>
        <v>503.40000000000003</v>
      </c>
      <c r="H315" s="30">
        <v>0</v>
      </c>
      <c r="I315" s="15"/>
    </row>
    <row r="316" spans="2:9" x14ac:dyDescent="0.25">
      <c r="B316" s="7">
        <v>312</v>
      </c>
      <c r="C316" s="51">
        <f t="shared" si="9"/>
        <v>46485</v>
      </c>
      <c r="D316" s="46">
        <f t="shared" si="8"/>
        <v>1503.4</v>
      </c>
      <c r="E316" s="30">
        <f>MAX(Dashboard!$J$16,(Dashboard!$I$16*Fundo!W315)/360)/30</f>
        <v>500</v>
      </c>
      <c r="F316" s="30">
        <f>MAX(Dashboard!$J$15,(Dashboard!$I$15*Fundo!W315)/360)/30</f>
        <v>500</v>
      </c>
      <c r="G316" s="81">
        <f>Fundo!R315*Dashboard!$I$14</f>
        <v>503.40000000000003</v>
      </c>
      <c r="H316" s="30">
        <v>0</v>
      </c>
      <c r="I316" s="15"/>
    </row>
    <row r="317" spans="2:9" x14ac:dyDescent="0.25">
      <c r="B317" s="7">
        <v>313</v>
      </c>
      <c r="C317" s="51">
        <f t="shared" si="9"/>
        <v>46486</v>
      </c>
      <c r="D317" s="46">
        <f t="shared" si="8"/>
        <v>1503.4</v>
      </c>
      <c r="E317" s="30">
        <f>MAX(Dashboard!$J$16,(Dashboard!$I$16*Fundo!W316)/360)/30</f>
        <v>500</v>
      </c>
      <c r="F317" s="30">
        <f>MAX(Dashboard!$J$15,(Dashboard!$I$15*Fundo!W316)/360)/30</f>
        <v>500</v>
      </c>
      <c r="G317" s="81">
        <f>Fundo!R316*Dashboard!$I$14</f>
        <v>503.40000000000003</v>
      </c>
      <c r="H317" s="30">
        <v>0</v>
      </c>
      <c r="I317" s="15"/>
    </row>
    <row r="318" spans="2:9" x14ac:dyDescent="0.25">
      <c r="B318" s="7">
        <v>314</v>
      </c>
      <c r="C318" s="51">
        <f t="shared" si="9"/>
        <v>46487</v>
      </c>
      <c r="D318" s="46">
        <f t="shared" si="8"/>
        <v>1503.4</v>
      </c>
      <c r="E318" s="30">
        <f>MAX(Dashboard!$J$16,(Dashboard!$I$16*Fundo!W317)/360)/30</f>
        <v>500</v>
      </c>
      <c r="F318" s="30">
        <f>MAX(Dashboard!$J$15,(Dashboard!$I$15*Fundo!W317)/360)/30</f>
        <v>500</v>
      </c>
      <c r="G318" s="81">
        <f>Fundo!R317*Dashboard!$I$14</f>
        <v>503.40000000000003</v>
      </c>
      <c r="H318" s="30">
        <v>0</v>
      </c>
      <c r="I318" s="15"/>
    </row>
    <row r="319" spans="2:9" x14ac:dyDescent="0.25">
      <c r="B319" s="7">
        <v>315</v>
      </c>
      <c r="C319" s="51">
        <f t="shared" si="9"/>
        <v>46488</v>
      </c>
      <c r="D319" s="46">
        <f t="shared" si="8"/>
        <v>1503.4</v>
      </c>
      <c r="E319" s="30">
        <f>MAX(Dashboard!$J$16,(Dashboard!$I$16*Fundo!W318)/360)/30</f>
        <v>500</v>
      </c>
      <c r="F319" s="30">
        <f>MAX(Dashboard!$J$15,(Dashboard!$I$15*Fundo!W318)/360)/30</f>
        <v>500</v>
      </c>
      <c r="G319" s="81">
        <f>Fundo!R318*Dashboard!$I$14</f>
        <v>503.40000000000003</v>
      </c>
      <c r="H319" s="30">
        <v>0</v>
      </c>
      <c r="I319" s="15"/>
    </row>
    <row r="320" spans="2:9" x14ac:dyDescent="0.25">
      <c r="B320" s="7">
        <v>316</v>
      </c>
      <c r="C320" s="51">
        <f t="shared" si="9"/>
        <v>46489</v>
      </c>
      <c r="D320" s="46">
        <f t="shared" ref="D320:D383" si="10">E320+F320+G320+H320+I320</f>
        <v>1503.4</v>
      </c>
      <c r="E320" s="30">
        <f>MAX(Dashboard!$J$16,(Dashboard!$I$16*Fundo!W319)/360)/30</f>
        <v>500</v>
      </c>
      <c r="F320" s="30">
        <f>MAX(Dashboard!$J$15,(Dashboard!$I$15*Fundo!W319)/360)/30</f>
        <v>500</v>
      </c>
      <c r="G320" s="81">
        <f>Fundo!R319*Dashboard!$I$14</f>
        <v>503.40000000000003</v>
      </c>
      <c r="H320" s="30">
        <v>0</v>
      </c>
      <c r="I320" s="15"/>
    </row>
    <row r="321" spans="2:9" x14ac:dyDescent="0.25">
      <c r="B321" s="7">
        <v>317</v>
      </c>
      <c r="C321" s="51">
        <f t="shared" si="9"/>
        <v>46490</v>
      </c>
      <c r="D321" s="46">
        <f t="shared" si="10"/>
        <v>1503.4</v>
      </c>
      <c r="E321" s="30">
        <f>MAX(Dashboard!$J$16,(Dashboard!$I$16*Fundo!W320)/360)/30</f>
        <v>500</v>
      </c>
      <c r="F321" s="30">
        <f>MAX(Dashboard!$J$15,(Dashboard!$I$15*Fundo!W320)/360)/30</f>
        <v>500</v>
      </c>
      <c r="G321" s="81">
        <f>Fundo!R320*Dashboard!$I$14</f>
        <v>503.40000000000003</v>
      </c>
      <c r="H321" s="30">
        <v>0</v>
      </c>
      <c r="I321" s="15"/>
    </row>
    <row r="322" spans="2:9" x14ac:dyDescent="0.25">
      <c r="B322" s="7">
        <v>318</v>
      </c>
      <c r="C322" s="51">
        <f t="shared" si="9"/>
        <v>46491</v>
      </c>
      <c r="D322" s="46">
        <f t="shared" si="10"/>
        <v>1503.4</v>
      </c>
      <c r="E322" s="30">
        <f>MAX(Dashboard!$J$16,(Dashboard!$I$16*Fundo!W321)/360)/30</f>
        <v>500</v>
      </c>
      <c r="F322" s="30">
        <f>MAX(Dashboard!$J$15,(Dashboard!$I$15*Fundo!W321)/360)/30</f>
        <v>500</v>
      </c>
      <c r="G322" s="81">
        <f>Fundo!R321*Dashboard!$I$14</f>
        <v>503.40000000000003</v>
      </c>
      <c r="H322" s="30">
        <v>0</v>
      </c>
      <c r="I322" s="15"/>
    </row>
    <row r="323" spans="2:9" x14ac:dyDescent="0.25">
      <c r="B323" s="7">
        <v>319</v>
      </c>
      <c r="C323" s="51">
        <f t="shared" si="9"/>
        <v>46492</v>
      </c>
      <c r="D323" s="46">
        <f t="shared" si="10"/>
        <v>1503.4</v>
      </c>
      <c r="E323" s="30">
        <f>MAX(Dashboard!$J$16,(Dashboard!$I$16*Fundo!W322)/360)/30</f>
        <v>500</v>
      </c>
      <c r="F323" s="30">
        <f>MAX(Dashboard!$J$15,(Dashboard!$I$15*Fundo!W322)/360)/30</f>
        <v>500</v>
      </c>
      <c r="G323" s="81">
        <f>Fundo!R322*Dashboard!$I$14</f>
        <v>503.40000000000003</v>
      </c>
      <c r="H323" s="30">
        <v>0</v>
      </c>
      <c r="I323" s="15"/>
    </row>
    <row r="324" spans="2:9" x14ac:dyDescent="0.25">
      <c r="B324" s="7">
        <v>320</v>
      </c>
      <c r="C324" s="51">
        <f t="shared" si="9"/>
        <v>46493</v>
      </c>
      <c r="D324" s="46">
        <f t="shared" si="10"/>
        <v>1503.4</v>
      </c>
      <c r="E324" s="30">
        <f>MAX(Dashboard!$J$16,(Dashboard!$I$16*Fundo!W323)/360)/30</f>
        <v>500</v>
      </c>
      <c r="F324" s="30">
        <f>MAX(Dashboard!$J$15,(Dashboard!$I$15*Fundo!W323)/360)/30</f>
        <v>500</v>
      </c>
      <c r="G324" s="81">
        <f>Fundo!R323*Dashboard!$I$14</f>
        <v>503.40000000000003</v>
      </c>
      <c r="H324" s="30">
        <v>0</v>
      </c>
      <c r="I324" s="15"/>
    </row>
    <row r="325" spans="2:9" x14ac:dyDescent="0.25">
      <c r="B325" s="7">
        <v>321</v>
      </c>
      <c r="C325" s="51">
        <f t="shared" si="9"/>
        <v>46494</v>
      </c>
      <c r="D325" s="46">
        <f t="shared" si="10"/>
        <v>1503.4</v>
      </c>
      <c r="E325" s="30">
        <f>MAX(Dashboard!$J$16,(Dashboard!$I$16*Fundo!W324)/360)/30</f>
        <v>500</v>
      </c>
      <c r="F325" s="30">
        <f>MAX(Dashboard!$J$15,(Dashboard!$I$15*Fundo!W324)/360)/30</f>
        <v>500</v>
      </c>
      <c r="G325" s="81">
        <f>Fundo!R324*Dashboard!$I$14</f>
        <v>503.40000000000003</v>
      </c>
      <c r="H325" s="30">
        <v>0</v>
      </c>
      <c r="I325" s="15"/>
    </row>
    <row r="326" spans="2:9" x14ac:dyDescent="0.25">
      <c r="B326" s="7">
        <v>322</v>
      </c>
      <c r="C326" s="51">
        <f t="shared" si="9"/>
        <v>46495</v>
      </c>
      <c r="D326" s="46">
        <f t="shared" si="10"/>
        <v>1503.4</v>
      </c>
      <c r="E326" s="30">
        <f>MAX(Dashboard!$J$16,(Dashboard!$I$16*Fundo!W325)/360)/30</f>
        <v>500</v>
      </c>
      <c r="F326" s="30">
        <f>MAX(Dashboard!$J$15,(Dashboard!$I$15*Fundo!W325)/360)/30</f>
        <v>500</v>
      </c>
      <c r="G326" s="81">
        <f>Fundo!R325*Dashboard!$I$14</f>
        <v>503.40000000000003</v>
      </c>
      <c r="H326" s="30">
        <v>0</v>
      </c>
      <c r="I326" s="15"/>
    </row>
    <row r="327" spans="2:9" x14ac:dyDescent="0.25">
      <c r="B327" s="7">
        <v>323</v>
      </c>
      <c r="C327" s="51">
        <f t="shared" ref="C327:C390" si="11">C326+1</f>
        <v>46496</v>
      </c>
      <c r="D327" s="46">
        <f t="shared" si="10"/>
        <v>1503.4</v>
      </c>
      <c r="E327" s="30">
        <f>MAX(Dashboard!$J$16,(Dashboard!$I$16*Fundo!W326)/360)/30</f>
        <v>500</v>
      </c>
      <c r="F327" s="30">
        <f>MAX(Dashboard!$J$15,(Dashboard!$I$15*Fundo!W326)/360)/30</f>
        <v>500</v>
      </c>
      <c r="G327" s="81">
        <f>Fundo!R326*Dashboard!$I$14</f>
        <v>503.40000000000003</v>
      </c>
      <c r="H327" s="30">
        <v>0</v>
      </c>
      <c r="I327" s="15"/>
    </row>
    <row r="328" spans="2:9" x14ac:dyDescent="0.25">
      <c r="B328" s="7">
        <v>324</v>
      </c>
      <c r="C328" s="51">
        <f t="shared" si="11"/>
        <v>46497</v>
      </c>
      <c r="D328" s="46">
        <f t="shared" si="10"/>
        <v>1503.4</v>
      </c>
      <c r="E328" s="30">
        <f>MAX(Dashboard!$J$16,(Dashboard!$I$16*Fundo!W327)/360)/30</f>
        <v>500</v>
      </c>
      <c r="F328" s="30">
        <f>MAX(Dashboard!$J$15,(Dashboard!$I$15*Fundo!W327)/360)/30</f>
        <v>500</v>
      </c>
      <c r="G328" s="81">
        <f>Fundo!R327*Dashboard!$I$14</f>
        <v>503.40000000000003</v>
      </c>
      <c r="H328" s="30">
        <v>0</v>
      </c>
      <c r="I328" s="15"/>
    </row>
    <row r="329" spans="2:9" x14ac:dyDescent="0.25">
      <c r="B329" s="7">
        <v>325</v>
      </c>
      <c r="C329" s="51">
        <f t="shared" si="11"/>
        <v>46498</v>
      </c>
      <c r="D329" s="46">
        <f t="shared" si="10"/>
        <v>1503.4</v>
      </c>
      <c r="E329" s="30">
        <f>MAX(Dashboard!$J$16,(Dashboard!$I$16*Fundo!W328)/360)/30</f>
        <v>500</v>
      </c>
      <c r="F329" s="30">
        <f>MAX(Dashboard!$J$15,(Dashboard!$I$15*Fundo!W328)/360)/30</f>
        <v>500</v>
      </c>
      <c r="G329" s="81">
        <f>Fundo!R328*Dashboard!$I$14</f>
        <v>503.40000000000003</v>
      </c>
      <c r="H329" s="30">
        <v>0</v>
      </c>
      <c r="I329" s="15"/>
    </row>
    <row r="330" spans="2:9" x14ac:dyDescent="0.25">
      <c r="B330" s="7">
        <v>326</v>
      </c>
      <c r="C330" s="51">
        <f t="shared" si="11"/>
        <v>46499</v>
      </c>
      <c r="D330" s="46">
        <f t="shared" si="10"/>
        <v>1503.4</v>
      </c>
      <c r="E330" s="30">
        <f>MAX(Dashboard!$J$16,(Dashboard!$I$16*Fundo!W329)/360)/30</f>
        <v>500</v>
      </c>
      <c r="F330" s="30">
        <f>MAX(Dashboard!$J$15,(Dashboard!$I$15*Fundo!W329)/360)/30</f>
        <v>500</v>
      </c>
      <c r="G330" s="81">
        <f>Fundo!R329*Dashboard!$I$14</f>
        <v>503.40000000000003</v>
      </c>
      <c r="H330" s="30">
        <v>0</v>
      </c>
      <c r="I330" s="15"/>
    </row>
    <row r="331" spans="2:9" x14ac:dyDescent="0.25">
      <c r="B331" s="7">
        <v>327</v>
      </c>
      <c r="C331" s="51">
        <f t="shared" si="11"/>
        <v>46500</v>
      </c>
      <c r="D331" s="46">
        <f t="shared" si="10"/>
        <v>1503.4</v>
      </c>
      <c r="E331" s="30">
        <f>MAX(Dashboard!$J$16,(Dashboard!$I$16*Fundo!W330)/360)/30</f>
        <v>500</v>
      </c>
      <c r="F331" s="30">
        <f>MAX(Dashboard!$J$15,(Dashboard!$I$15*Fundo!W330)/360)/30</f>
        <v>500</v>
      </c>
      <c r="G331" s="81">
        <f>Fundo!R330*Dashboard!$I$14</f>
        <v>503.40000000000003</v>
      </c>
      <c r="H331" s="30">
        <v>0</v>
      </c>
      <c r="I331" s="15"/>
    </row>
    <row r="332" spans="2:9" x14ac:dyDescent="0.25">
      <c r="B332" s="7">
        <v>328</v>
      </c>
      <c r="C332" s="51">
        <f t="shared" si="11"/>
        <v>46501</v>
      </c>
      <c r="D332" s="46">
        <f t="shared" si="10"/>
        <v>1503.4</v>
      </c>
      <c r="E332" s="30">
        <f>MAX(Dashboard!$J$16,(Dashboard!$I$16*Fundo!W331)/360)/30</f>
        <v>500</v>
      </c>
      <c r="F332" s="30">
        <f>MAX(Dashboard!$J$15,(Dashboard!$I$15*Fundo!W331)/360)/30</f>
        <v>500</v>
      </c>
      <c r="G332" s="81">
        <f>Fundo!R331*Dashboard!$I$14</f>
        <v>503.40000000000003</v>
      </c>
      <c r="H332" s="30">
        <v>0</v>
      </c>
      <c r="I332" s="15"/>
    </row>
    <row r="333" spans="2:9" x14ac:dyDescent="0.25">
      <c r="B333" s="7">
        <v>329</v>
      </c>
      <c r="C333" s="51">
        <f t="shared" si="11"/>
        <v>46502</v>
      </c>
      <c r="D333" s="46">
        <f t="shared" si="10"/>
        <v>1503.4</v>
      </c>
      <c r="E333" s="30">
        <f>MAX(Dashboard!$J$16,(Dashboard!$I$16*Fundo!W332)/360)/30</f>
        <v>500</v>
      </c>
      <c r="F333" s="30">
        <f>MAX(Dashboard!$J$15,(Dashboard!$I$15*Fundo!W332)/360)/30</f>
        <v>500</v>
      </c>
      <c r="G333" s="81">
        <f>Fundo!R332*Dashboard!$I$14</f>
        <v>503.40000000000003</v>
      </c>
      <c r="H333" s="30">
        <v>0</v>
      </c>
      <c r="I333" s="15"/>
    </row>
    <row r="334" spans="2:9" x14ac:dyDescent="0.25">
      <c r="B334" s="7">
        <v>330</v>
      </c>
      <c r="C334" s="51">
        <f t="shared" si="11"/>
        <v>46503</v>
      </c>
      <c r="D334" s="46">
        <f t="shared" si="10"/>
        <v>1503.4</v>
      </c>
      <c r="E334" s="30">
        <f>MAX(Dashboard!$J$16,(Dashboard!$I$16*Fundo!W333)/360)/30</f>
        <v>500</v>
      </c>
      <c r="F334" s="30">
        <f>MAX(Dashboard!$J$15,(Dashboard!$I$15*Fundo!W333)/360)/30</f>
        <v>500</v>
      </c>
      <c r="G334" s="81">
        <f>Fundo!R333*Dashboard!$I$14</f>
        <v>503.40000000000003</v>
      </c>
      <c r="H334" s="30">
        <v>0</v>
      </c>
      <c r="I334" s="15"/>
    </row>
    <row r="335" spans="2:9" x14ac:dyDescent="0.25">
      <c r="B335" s="7">
        <v>331</v>
      </c>
      <c r="C335" s="51">
        <f t="shared" si="11"/>
        <v>46504</v>
      </c>
      <c r="D335" s="46">
        <f t="shared" si="10"/>
        <v>1503.4</v>
      </c>
      <c r="E335" s="30">
        <f>MAX(Dashboard!$J$16,(Dashboard!$I$16*Fundo!W334)/360)/30</f>
        <v>500</v>
      </c>
      <c r="F335" s="30">
        <f>MAX(Dashboard!$J$15,(Dashboard!$I$15*Fundo!W334)/360)/30</f>
        <v>500</v>
      </c>
      <c r="G335" s="81">
        <f>Fundo!R334*Dashboard!$I$14</f>
        <v>503.40000000000003</v>
      </c>
      <c r="H335" s="30">
        <v>0</v>
      </c>
      <c r="I335" s="15"/>
    </row>
    <row r="336" spans="2:9" x14ac:dyDescent="0.25">
      <c r="B336" s="7">
        <v>332</v>
      </c>
      <c r="C336" s="51">
        <f t="shared" si="11"/>
        <v>46505</v>
      </c>
      <c r="D336" s="46">
        <f t="shared" si="10"/>
        <v>1503.4</v>
      </c>
      <c r="E336" s="30">
        <f>MAX(Dashboard!$J$16,(Dashboard!$I$16*Fundo!W335)/360)/30</f>
        <v>500</v>
      </c>
      <c r="F336" s="30">
        <f>MAX(Dashboard!$J$15,(Dashboard!$I$15*Fundo!W335)/360)/30</f>
        <v>500</v>
      </c>
      <c r="G336" s="81">
        <f>Fundo!R335*Dashboard!$I$14</f>
        <v>503.40000000000003</v>
      </c>
      <c r="H336" s="30">
        <v>0</v>
      </c>
      <c r="I336" s="15"/>
    </row>
    <row r="337" spans="2:9" x14ac:dyDescent="0.25">
      <c r="B337" s="7">
        <v>333</v>
      </c>
      <c r="C337" s="51">
        <f t="shared" si="11"/>
        <v>46506</v>
      </c>
      <c r="D337" s="46">
        <f t="shared" si="10"/>
        <v>1503.4</v>
      </c>
      <c r="E337" s="30">
        <f>MAX(Dashboard!$J$16,(Dashboard!$I$16*Fundo!W336)/360)/30</f>
        <v>500</v>
      </c>
      <c r="F337" s="30">
        <f>MAX(Dashboard!$J$15,(Dashboard!$I$15*Fundo!W336)/360)/30</f>
        <v>500</v>
      </c>
      <c r="G337" s="81">
        <f>Fundo!R336*Dashboard!$I$14</f>
        <v>503.40000000000003</v>
      </c>
      <c r="H337" s="30">
        <v>0</v>
      </c>
      <c r="I337" s="15"/>
    </row>
    <row r="338" spans="2:9" x14ac:dyDescent="0.25">
      <c r="B338" s="7">
        <v>334</v>
      </c>
      <c r="C338" s="51">
        <f t="shared" si="11"/>
        <v>46507</v>
      </c>
      <c r="D338" s="46">
        <f t="shared" si="10"/>
        <v>1503.4</v>
      </c>
      <c r="E338" s="30">
        <f>MAX(Dashboard!$J$16,(Dashboard!$I$16*Fundo!W337)/360)/30</f>
        <v>500</v>
      </c>
      <c r="F338" s="30">
        <f>MAX(Dashboard!$J$15,(Dashboard!$I$15*Fundo!W337)/360)/30</f>
        <v>500</v>
      </c>
      <c r="G338" s="81">
        <f>Fundo!R337*Dashboard!$I$14</f>
        <v>503.40000000000003</v>
      </c>
      <c r="H338" s="30">
        <v>0</v>
      </c>
      <c r="I338" s="15"/>
    </row>
    <row r="339" spans="2:9" x14ac:dyDescent="0.25">
      <c r="B339" s="7">
        <v>335</v>
      </c>
      <c r="C339" s="51">
        <f t="shared" si="11"/>
        <v>46508</v>
      </c>
      <c r="D339" s="46">
        <f t="shared" si="10"/>
        <v>1503.4</v>
      </c>
      <c r="E339" s="30">
        <f>MAX(Dashboard!$J$16,(Dashboard!$I$16*Fundo!W338)/360)/30</f>
        <v>500</v>
      </c>
      <c r="F339" s="30">
        <f>MAX(Dashboard!$J$15,(Dashboard!$I$15*Fundo!W338)/360)/30</f>
        <v>500</v>
      </c>
      <c r="G339" s="81">
        <f>Fundo!R338*Dashboard!$I$14</f>
        <v>503.40000000000003</v>
      </c>
      <c r="H339" s="30">
        <v>0</v>
      </c>
      <c r="I339" s="15"/>
    </row>
    <row r="340" spans="2:9" x14ac:dyDescent="0.25">
      <c r="B340" s="7">
        <v>336</v>
      </c>
      <c r="C340" s="51">
        <f t="shared" si="11"/>
        <v>46509</v>
      </c>
      <c r="D340" s="46">
        <f t="shared" si="10"/>
        <v>1503.4</v>
      </c>
      <c r="E340" s="30">
        <f>MAX(Dashboard!$J$16,(Dashboard!$I$16*Fundo!W339)/360)/30</f>
        <v>500</v>
      </c>
      <c r="F340" s="30">
        <f>MAX(Dashboard!$J$15,(Dashboard!$I$15*Fundo!W339)/360)/30</f>
        <v>500</v>
      </c>
      <c r="G340" s="81">
        <f>Fundo!R339*Dashboard!$I$14</f>
        <v>503.40000000000003</v>
      </c>
      <c r="H340" s="30">
        <v>0</v>
      </c>
      <c r="I340" s="15"/>
    </row>
    <row r="341" spans="2:9" x14ac:dyDescent="0.25">
      <c r="B341" s="7">
        <v>337</v>
      </c>
      <c r="C341" s="51">
        <f t="shared" si="11"/>
        <v>46510</v>
      </c>
      <c r="D341" s="46">
        <f t="shared" si="10"/>
        <v>1503.4</v>
      </c>
      <c r="E341" s="30">
        <f>MAX(Dashboard!$J$16,(Dashboard!$I$16*Fundo!W340)/360)/30</f>
        <v>500</v>
      </c>
      <c r="F341" s="30">
        <f>MAX(Dashboard!$J$15,(Dashboard!$I$15*Fundo!W340)/360)/30</f>
        <v>500</v>
      </c>
      <c r="G341" s="81">
        <f>Fundo!R340*Dashboard!$I$14</f>
        <v>503.40000000000003</v>
      </c>
      <c r="H341" s="30">
        <v>0</v>
      </c>
      <c r="I341" s="15"/>
    </row>
    <row r="342" spans="2:9" x14ac:dyDescent="0.25">
      <c r="B342" s="7">
        <v>338</v>
      </c>
      <c r="C342" s="51">
        <f t="shared" si="11"/>
        <v>46511</v>
      </c>
      <c r="D342" s="46">
        <f t="shared" si="10"/>
        <v>1503.4</v>
      </c>
      <c r="E342" s="30">
        <f>MAX(Dashboard!$J$16,(Dashboard!$I$16*Fundo!W341)/360)/30</f>
        <v>500</v>
      </c>
      <c r="F342" s="30">
        <f>MAX(Dashboard!$J$15,(Dashboard!$I$15*Fundo!W341)/360)/30</f>
        <v>500</v>
      </c>
      <c r="G342" s="81">
        <f>Fundo!R341*Dashboard!$I$14</f>
        <v>503.40000000000003</v>
      </c>
      <c r="H342" s="30">
        <v>0</v>
      </c>
      <c r="I342" s="15"/>
    </row>
    <row r="343" spans="2:9" x14ac:dyDescent="0.25">
      <c r="B343" s="7">
        <v>339</v>
      </c>
      <c r="C343" s="51">
        <f t="shared" si="11"/>
        <v>46512</v>
      </c>
      <c r="D343" s="46">
        <f t="shared" si="10"/>
        <v>1503.4</v>
      </c>
      <c r="E343" s="30">
        <f>MAX(Dashboard!$J$16,(Dashboard!$I$16*Fundo!W342)/360)/30</f>
        <v>500</v>
      </c>
      <c r="F343" s="30">
        <f>MAX(Dashboard!$J$15,(Dashboard!$I$15*Fundo!W342)/360)/30</f>
        <v>500</v>
      </c>
      <c r="G343" s="81">
        <f>Fundo!R342*Dashboard!$I$14</f>
        <v>503.40000000000003</v>
      </c>
      <c r="H343" s="30">
        <v>0</v>
      </c>
      <c r="I343" s="15"/>
    </row>
    <row r="344" spans="2:9" x14ac:dyDescent="0.25">
      <c r="B344" s="7">
        <v>340</v>
      </c>
      <c r="C344" s="51">
        <f t="shared" si="11"/>
        <v>46513</v>
      </c>
      <c r="D344" s="46">
        <f t="shared" si="10"/>
        <v>1503.4</v>
      </c>
      <c r="E344" s="30">
        <f>MAX(Dashboard!$J$16,(Dashboard!$I$16*Fundo!W343)/360)/30</f>
        <v>500</v>
      </c>
      <c r="F344" s="30">
        <f>MAX(Dashboard!$J$15,(Dashboard!$I$15*Fundo!W343)/360)/30</f>
        <v>500</v>
      </c>
      <c r="G344" s="81">
        <f>Fundo!R343*Dashboard!$I$14</f>
        <v>503.40000000000003</v>
      </c>
      <c r="H344" s="30">
        <v>0</v>
      </c>
      <c r="I344" s="15"/>
    </row>
    <row r="345" spans="2:9" x14ac:dyDescent="0.25">
      <c r="B345" s="7">
        <v>341</v>
      </c>
      <c r="C345" s="51">
        <f t="shared" si="11"/>
        <v>46514</v>
      </c>
      <c r="D345" s="46">
        <f t="shared" si="10"/>
        <v>1503.4</v>
      </c>
      <c r="E345" s="30">
        <f>MAX(Dashboard!$J$16,(Dashboard!$I$16*Fundo!W344)/360)/30</f>
        <v>500</v>
      </c>
      <c r="F345" s="30">
        <f>MAX(Dashboard!$J$15,(Dashboard!$I$15*Fundo!W344)/360)/30</f>
        <v>500</v>
      </c>
      <c r="G345" s="81">
        <f>Fundo!R344*Dashboard!$I$14</f>
        <v>503.40000000000003</v>
      </c>
      <c r="H345" s="30">
        <v>0</v>
      </c>
      <c r="I345" s="15"/>
    </row>
    <row r="346" spans="2:9" x14ac:dyDescent="0.25">
      <c r="B346" s="7">
        <v>342</v>
      </c>
      <c r="C346" s="51">
        <f t="shared" si="11"/>
        <v>46515</v>
      </c>
      <c r="D346" s="46">
        <f t="shared" si="10"/>
        <v>1503.4</v>
      </c>
      <c r="E346" s="30">
        <f>MAX(Dashboard!$J$16,(Dashboard!$I$16*Fundo!W345)/360)/30</f>
        <v>500</v>
      </c>
      <c r="F346" s="30">
        <f>MAX(Dashboard!$J$15,(Dashboard!$I$15*Fundo!W345)/360)/30</f>
        <v>500</v>
      </c>
      <c r="G346" s="81">
        <f>Fundo!R345*Dashboard!$I$14</f>
        <v>503.40000000000003</v>
      </c>
      <c r="H346" s="30">
        <v>0</v>
      </c>
      <c r="I346" s="15"/>
    </row>
    <row r="347" spans="2:9" x14ac:dyDescent="0.25">
      <c r="B347" s="7">
        <v>343</v>
      </c>
      <c r="C347" s="51">
        <f t="shared" si="11"/>
        <v>46516</v>
      </c>
      <c r="D347" s="46">
        <f t="shared" si="10"/>
        <v>1503.4</v>
      </c>
      <c r="E347" s="30">
        <f>MAX(Dashboard!$J$16,(Dashboard!$I$16*Fundo!W346)/360)/30</f>
        <v>500</v>
      </c>
      <c r="F347" s="30">
        <f>MAX(Dashboard!$J$15,(Dashboard!$I$15*Fundo!W346)/360)/30</f>
        <v>500</v>
      </c>
      <c r="G347" s="81">
        <f>Fundo!R346*Dashboard!$I$14</f>
        <v>503.40000000000003</v>
      </c>
      <c r="H347" s="30">
        <v>0</v>
      </c>
      <c r="I347" s="15"/>
    </row>
    <row r="348" spans="2:9" x14ac:dyDescent="0.25">
      <c r="B348" s="7">
        <v>344</v>
      </c>
      <c r="C348" s="51">
        <f t="shared" si="11"/>
        <v>46517</v>
      </c>
      <c r="D348" s="46">
        <f t="shared" si="10"/>
        <v>1503.4</v>
      </c>
      <c r="E348" s="30">
        <f>MAX(Dashboard!$J$16,(Dashboard!$I$16*Fundo!W347)/360)/30</f>
        <v>500</v>
      </c>
      <c r="F348" s="30">
        <f>MAX(Dashboard!$J$15,(Dashboard!$I$15*Fundo!W347)/360)/30</f>
        <v>500</v>
      </c>
      <c r="G348" s="81">
        <f>Fundo!R347*Dashboard!$I$14</f>
        <v>503.40000000000003</v>
      </c>
      <c r="H348" s="30">
        <v>0</v>
      </c>
      <c r="I348" s="15"/>
    </row>
    <row r="349" spans="2:9" x14ac:dyDescent="0.25">
      <c r="B349" s="7">
        <v>345</v>
      </c>
      <c r="C349" s="51">
        <f t="shared" si="11"/>
        <v>46518</v>
      </c>
      <c r="D349" s="46">
        <f t="shared" si="10"/>
        <v>1503.4</v>
      </c>
      <c r="E349" s="30">
        <f>MAX(Dashboard!$J$16,(Dashboard!$I$16*Fundo!W348)/360)/30</f>
        <v>500</v>
      </c>
      <c r="F349" s="30">
        <f>MAX(Dashboard!$J$15,(Dashboard!$I$15*Fundo!W348)/360)/30</f>
        <v>500</v>
      </c>
      <c r="G349" s="81">
        <f>Fundo!R348*Dashboard!$I$14</f>
        <v>503.40000000000003</v>
      </c>
      <c r="H349" s="30">
        <v>0</v>
      </c>
      <c r="I349" s="15"/>
    </row>
    <row r="350" spans="2:9" x14ac:dyDescent="0.25">
      <c r="B350" s="7">
        <v>346</v>
      </c>
      <c r="C350" s="51">
        <f t="shared" si="11"/>
        <v>46519</v>
      </c>
      <c r="D350" s="46">
        <f t="shared" si="10"/>
        <v>1503.4</v>
      </c>
      <c r="E350" s="30">
        <f>MAX(Dashboard!$J$16,(Dashboard!$I$16*Fundo!W349)/360)/30</f>
        <v>500</v>
      </c>
      <c r="F350" s="30">
        <f>MAX(Dashboard!$J$15,(Dashboard!$I$15*Fundo!W349)/360)/30</f>
        <v>500</v>
      </c>
      <c r="G350" s="81">
        <f>Fundo!R349*Dashboard!$I$14</f>
        <v>503.40000000000003</v>
      </c>
      <c r="H350" s="30">
        <v>0</v>
      </c>
      <c r="I350" s="15"/>
    </row>
    <row r="351" spans="2:9" x14ac:dyDescent="0.25">
      <c r="B351" s="7">
        <v>347</v>
      </c>
      <c r="C351" s="51">
        <f t="shared" si="11"/>
        <v>46520</v>
      </c>
      <c r="D351" s="46">
        <f t="shared" si="10"/>
        <v>1503.4</v>
      </c>
      <c r="E351" s="30">
        <f>MAX(Dashboard!$J$16,(Dashboard!$I$16*Fundo!W350)/360)/30</f>
        <v>500</v>
      </c>
      <c r="F351" s="30">
        <f>MAX(Dashboard!$J$15,(Dashboard!$I$15*Fundo!W350)/360)/30</f>
        <v>500</v>
      </c>
      <c r="G351" s="81">
        <f>Fundo!R350*Dashboard!$I$14</f>
        <v>503.40000000000003</v>
      </c>
      <c r="H351" s="30">
        <v>0</v>
      </c>
      <c r="I351" s="15"/>
    </row>
    <row r="352" spans="2:9" x14ac:dyDescent="0.25">
      <c r="B352" s="7">
        <v>348</v>
      </c>
      <c r="C352" s="51">
        <f t="shared" si="11"/>
        <v>46521</v>
      </c>
      <c r="D352" s="46">
        <f t="shared" si="10"/>
        <v>1503.4</v>
      </c>
      <c r="E352" s="30">
        <f>MAX(Dashboard!$J$16,(Dashboard!$I$16*Fundo!W351)/360)/30</f>
        <v>500</v>
      </c>
      <c r="F352" s="30">
        <f>MAX(Dashboard!$J$15,(Dashboard!$I$15*Fundo!W351)/360)/30</f>
        <v>500</v>
      </c>
      <c r="G352" s="81">
        <f>Fundo!R351*Dashboard!$I$14</f>
        <v>503.40000000000003</v>
      </c>
      <c r="H352" s="30">
        <v>0</v>
      </c>
      <c r="I352" s="15"/>
    </row>
    <row r="353" spans="2:9" x14ac:dyDescent="0.25">
      <c r="B353" s="7">
        <v>349</v>
      </c>
      <c r="C353" s="51">
        <f t="shared" si="11"/>
        <v>46522</v>
      </c>
      <c r="D353" s="46">
        <f t="shared" si="10"/>
        <v>1503.4</v>
      </c>
      <c r="E353" s="30">
        <f>MAX(Dashboard!$J$16,(Dashboard!$I$16*Fundo!W352)/360)/30</f>
        <v>500</v>
      </c>
      <c r="F353" s="30">
        <f>MAX(Dashboard!$J$15,(Dashboard!$I$15*Fundo!W352)/360)/30</f>
        <v>500</v>
      </c>
      <c r="G353" s="81">
        <f>Fundo!R352*Dashboard!$I$14</f>
        <v>503.40000000000003</v>
      </c>
      <c r="H353" s="30">
        <v>0</v>
      </c>
      <c r="I353" s="15"/>
    </row>
    <row r="354" spans="2:9" x14ac:dyDescent="0.25">
      <c r="B354" s="7">
        <v>350</v>
      </c>
      <c r="C354" s="51">
        <f t="shared" si="11"/>
        <v>46523</v>
      </c>
      <c r="D354" s="46">
        <f t="shared" si="10"/>
        <v>1503.4</v>
      </c>
      <c r="E354" s="30">
        <f>MAX(Dashboard!$J$16,(Dashboard!$I$16*Fundo!W353)/360)/30</f>
        <v>500</v>
      </c>
      <c r="F354" s="30">
        <f>MAX(Dashboard!$J$15,(Dashboard!$I$15*Fundo!W353)/360)/30</f>
        <v>500</v>
      </c>
      <c r="G354" s="81">
        <f>Fundo!R353*Dashboard!$I$14</f>
        <v>503.40000000000003</v>
      </c>
      <c r="H354" s="30">
        <v>0</v>
      </c>
      <c r="I354" s="15"/>
    </row>
    <row r="355" spans="2:9" x14ac:dyDescent="0.25">
      <c r="B355" s="7">
        <v>351</v>
      </c>
      <c r="C355" s="51">
        <f t="shared" si="11"/>
        <v>46524</v>
      </c>
      <c r="D355" s="46">
        <f t="shared" si="10"/>
        <v>1503.4</v>
      </c>
      <c r="E355" s="30">
        <f>MAX(Dashboard!$J$16,(Dashboard!$I$16*Fundo!W354)/360)/30</f>
        <v>500</v>
      </c>
      <c r="F355" s="30">
        <f>MAX(Dashboard!$J$15,(Dashboard!$I$15*Fundo!W354)/360)/30</f>
        <v>500</v>
      </c>
      <c r="G355" s="81">
        <f>Fundo!R354*Dashboard!$I$14</f>
        <v>503.40000000000003</v>
      </c>
      <c r="H355" s="30">
        <v>0</v>
      </c>
      <c r="I355" s="15"/>
    </row>
    <row r="356" spans="2:9" x14ac:dyDescent="0.25">
      <c r="B356" s="7">
        <v>352</v>
      </c>
      <c r="C356" s="51">
        <f t="shared" si="11"/>
        <v>46525</v>
      </c>
      <c r="D356" s="46">
        <f t="shared" si="10"/>
        <v>1503.4</v>
      </c>
      <c r="E356" s="30">
        <f>MAX(Dashboard!$J$16,(Dashboard!$I$16*Fundo!W355)/360)/30</f>
        <v>500</v>
      </c>
      <c r="F356" s="30">
        <f>MAX(Dashboard!$J$15,(Dashboard!$I$15*Fundo!W355)/360)/30</f>
        <v>500</v>
      </c>
      <c r="G356" s="81">
        <f>Fundo!R355*Dashboard!$I$14</f>
        <v>503.40000000000003</v>
      </c>
      <c r="H356" s="30">
        <v>0</v>
      </c>
      <c r="I356" s="15"/>
    </row>
    <row r="357" spans="2:9" x14ac:dyDescent="0.25">
      <c r="B357" s="7">
        <v>353</v>
      </c>
      <c r="C357" s="51">
        <f t="shared" si="11"/>
        <v>46526</v>
      </c>
      <c r="D357" s="46">
        <f t="shared" si="10"/>
        <v>1503.4</v>
      </c>
      <c r="E357" s="30">
        <f>MAX(Dashboard!$J$16,(Dashboard!$I$16*Fundo!W356)/360)/30</f>
        <v>500</v>
      </c>
      <c r="F357" s="30">
        <f>MAX(Dashboard!$J$15,(Dashboard!$I$15*Fundo!W356)/360)/30</f>
        <v>500</v>
      </c>
      <c r="G357" s="81">
        <f>Fundo!R356*Dashboard!$I$14</f>
        <v>503.40000000000003</v>
      </c>
      <c r="H357" s="30">
        <v>0</v>
      </c>
      <c r="I357" s="15"/>
    </row>
    <row r="358" spans="2:9" x14ac:dyDescent="0.25">
      <c r="B358" s="7">
        <v>354</v>
      </c>
      <c r="C358" s="51">
        <f t="shared" si="11"/>
        <v>46527</v>
      </c>
      <c r="D358" s="46">
        <f t="shared" si="10"/>
        <v>1503.4</v>
      </c>
      <c r="E358" s="30">
        <f>MAX(Dashboard!$J$16,(Dashboard!$I$16*Fundo!W357)/360)/30</f>
        <v>500</v>
      </c>
      <c r="F358" s="30">
        <f>MAX(Dashboard!$J$15,(Dashboard!$I$15*Fundo!W357)/360)/30</f>
        <v>500</v>
      </c>
      <c r="G358" s="81">
        <f>Fundo!R357*Dashboard!$I$14</f>
        <v>503.40000000000003</v>
      </c>
      <c r="H358" s="30">
        <v>0</v>
      </c>
      <c r="I358" s="15"/>
    </row>
    <row r="359" spans="2:9" x14ac:dyDescent="0.25">
      <c r="B359" s="7">
        <v>355</v>
      </c>
      <c r="C359" s="51">
        <f t="shared" si="11"/>
        <v>46528</v>
      </c>
      <c r="D359" s="46">
        <f t="shared" si="10"/>
        <v>1503.4</v>
      </c>
      <c r="E359" s="30">
        <f>MAX(Dashboard!$J$16,(Dashboard!$I$16*Fundo!W358)/360)/30</f>
        <v>500</v>
      </c>
      <c r="F359" s="30">
        <f>MAX(Dashboard!$J$15,(Dashboard!$I$15*Fundo!W358)/360)/30</f>
        <v>500</v>
      </c>
      <c r="G359" s="81">
        <f>Fundo!R358*Dashboard!$I$14</f>
        <v>503.40000000000003</v>
      </c>
      <c r="H359" s="30">
        <v>0</v>
      </c>
      <c r="I359" s="15"/>
    </row>
    <row r="360" spans="2:9" x14ac:dyDescent="0.25">
      <c r="B360" s="7">
        <v>356</v>
      </c>
      <c r="C360" s="51">
        <f t="shared" si="11"/>
        <v>46529</v>
      </c>
      <c r="D360" s="46">
        <f t="shared" si="10"/>
        <v>1503.4</v>
      </c>
      <c r="E360" s="30">
        <f>MAX(Dashboard!$J$16,(Dashboard!$I$16*Fundo!W359)/360)/30</f>
        <v>500</v>
      </c>
      <c r="F360" s="30">
        <f>MAX(Dashboard!$J$15,(Dashboard!$I$15*Fundo!W359)/360)/30</f>
        <v>500</v>
      </c>
      <c r="G360" s="81">
        <f>Fundo!R359*Dashboard!$I$14</f>
        <v>503.40000000000003</v>
      </c>
      <c r="H360" s="30">
        <v>0</v>
      </c>
      <c r="I360" s="15"/>
    </row>
    <row r="361" spans="2:9" x14ac:dyDescent="0.25">
      <c r="B361" s="7">
        <v>357</v>
      </c>
      <c r="C361" s="51">
        <f t="shared" si="11"/>
        <v>46530</v>
      </c>
      <c r="D361" s="46">
        <f t="shared" si="10"/>
        <v>1503.4</v>
      </c>
      <c r="E361" s="30">
        <f>MAX(Dashboard!$J$16,(Dashboard!$I$16*Fundo!W360)/360)/30</f>
        <v>500</v>
      </c>
      <c r="F361" s="30">
        <f>MAX(Dashboard!$J$15,(Dashboard!$I$15*Fundo!W360)/360)/30</f>
        <v>500</v>
      </c>
      <c r="G361" s="81">
        <f>Fundo!R360*Dashboard!$I$14</f>
        <v>503.40000000000003</v>
      </c>
      <c r="H361" s="30">
        <v>0</v>
      </c>
      <c r="I361" s="15"/>
    </row>
    <row r="362" spans="2:9" x14ac:dyDescent="0.25">
      <c r="B362" s="7">
        <v>358</v>
      </c>
      <c r="C362" s="51">
        <f t="shared" si="11"/>
        <v>46531</v>
      </c>
      <c r="D362" s="46">
        <f t="shared" si="10"/>
        <v>1503.4</v>
      </c>
      <c r="E362" s="30">
        <f>MAX(Dashboard!$J$16,(Dashboard!$I$16*Fundo!W361)/360)/30</f>
        <v>500</v>
      </c>
      <c r="F362" s="30">
        <f>MAX(Dashboard!$J$15,(Dashboard!$I$15*Fundo!W361)/360)/30</f>
        <v>500</v>
      </c>
      <c r="G362" s="81">
        <f>Fundo!R361*Dashboard!$I$14</f>
        <v>503.40000000000003</v>
      </c>
      <c r="H362" s="30">
        <v>0</v>
      </c>
      <c r="I362" s="15"/>
    </row>
    <row r="363" spans="2:9" x14ac:dyDescent="0.25">
      <c r="B363" s="7">
        <v>359</v>
      </c>
      <c r="C363" s="51">
        <f t="shared" si="11"/>
        <v>46532</v>
      </c>
      <c r="D363" s="46">
        <f t="shared" si="10"/>
        <v>1503.4</v>
      </c>
      <c r="E363" s="30">
        <f>MAX(Dashboard!$J$16,(Dashboard!$I$16*Fundo!W362)/360)/30</f>
        <v>500</v>
      </c>
      <c r="F363" s="30">
        <f>MAX(Dashboard!$J$15,(Dashboard!$I$15*Fundo!W362)/360)/30</f>
        <v>500</v>
      </c>
      <c r="G363" s="81">
        <f>Fundo!R362*Dashboard!$I$14</f>
        <v>503.40000000000003</v>
      </c>
      <c r="H363" s="30">
        <v>0</v>
      </c>
      <c r="I363" s="15"/>
    </row>
    <row r="364" spans="2:9" x14ac:dyDescent="0.25">
      <c r="B364" s="7">
        <v>360</v>
      </c>
      <c r="C364" s="51">
        <f t="shared" si="11"/>
        <v>46533</v>
      </c>
      <c r="D364" s="46">
        <f t="shared" si="10"/>
        <v>1503.4</v>
      </c>
      <c r="E364" s="30">
        <f>MAX(Dashboard!$J$16,(Dashboard!$I$16*Fundo!W363)/360)/30</f>
        <v>500</v>
      </c>
      <c r="F364" s="30">
        <f>MAX(Dashboard!$J$15,(Dashboard!$I$15*Fundo!W363)/360)/30</f>
        <v>500</v>
      </c>
      <c r="G364" s="81">
        <f>Fundo!R363*Dashboard!$I$14</f>
        <v>503.40000000000003</v>
      </c>
      <c r="H364" s="30">
        <v>0</v>
      </c>
      <c r="I364" s="15"/>
    </row>
    <row r="365" spans="2:9" x14ac:dyDescent="0.25">
      <c r="B365" s="7">
        <v>361</v>
      </c>
      <c r="C365" s="51">
        <f t="shared" si="11"/>
        <v>46534</v>
      </c>
      <c r="D365" s="46">
        <f t="shared" si="10"/>
        <v>1503.4</v>
      </c>
      <c r="E365" s="30">
        <f>MAX(Dashboard!$J$16,(Dashboard!$I$16*Fundo!W364)/360)/30</f>
        <v>500</v>
      </c>
      <c r="F365" s="30">
        <f>MAX(Dashboard!$J$15,(Dashboard!$I$15*Fundo!W364)/360)/30</f>
        <v>500</v>
      </c>
      <c r="G365" s="81">
        <f>Fundo!R364*Dashboard!$I$14</f>
        <v>503.40000000000003</v>
      </c>
      <c r="H365" s="30">
        <v>0</v>
      </c>
      <c r="I365" s="15"/>
    </row>
    <row r="366" spans="2:9" x14ac:dyDescent="0.25">
      <c r="B366" s="7">
        <v>362</v>
      </c>
      <c r="C366" s="51">
        <f t="shared" si="11"/>
        <v>46535</v>
      </c>
      <c r="D366" s="46">
        <f t="shared" si="10"/>
        <v>1503.4</v>
      </c>
      <c r="E366" s="30">
        <f>MAX(Dashboard!$J$16,(Dashboard!$I$16*Fundo!W365)/360)/30</f>
        <v>500</v>
      </c>
      <c r="F366" s="30">
        <f>MAX(Dashboard!$J$15,(Dashboard!$I$15*Fundo!W365)/360)/30</f>
        <v>500</v>
      </c>
      <c r="G366" s="81">
        <f>Fundo!R365*Dashboard!$I$14</f>
        <v>503.40000000000003</v>
      </c>
      <c r="H366" s="30">
        <v>0</v>
      </c>
      <c r="I366" s="15"/>
    </row>
    <row r="367" spans="2:9" x14ac:dyDescent="0.25">
      <c r="B367" s="7">
        <v>363</v>
      </c>
      <c r="C367" s="51">
        <f t="shared" si="11"/>
        <v>46536</v>
      </c>
      <c r="D367" s="46">
        <f t="shared" si="10"/>
        <v>1503.4</v>
      </c>
      <c r="E367" s="30">
        <f>MAX(Dashboard!$J$16,(Dashboard!$I$16*Fundo!W366)/360)/30</f>
        <v>500</v>
      </c>
      <c r="F367" s="30">
        <f>MAX(Dashboard!$J$15,(Dashboard!$I$15*Fundo!W366)/360)/30</f>
        <v>500</v>
      </c>
      <c r="G367" s="81">
        <f>Fundo!R366*Dashboard!$I$14</f>
        <v>503.40000000000003</v>
      </c>
      <c r="H367" s="30">
        <v>0</v>
      </c>
      <c r="I367" s="15"/>
    </row>
    <row r="368" spans="2:9" x14ac:dyDescent="0.25">
      <c r="B368" s="7">
        <v>364</v>
      </c>
      <c r="C368" s="51">
        <f t="shared" si="11"/>
        <v>46537</v>
      </c>
      <c r="D368" s="46">
        <f t="shared" si="10"/>
        <v>1503.4</v>
      </c>
      <c r="E368" s="30">
        <f>MAX(Dashboard!$J$16,(Dashboard!$I$16*Fundo!W367)/360)/30</f>
        <v>500</v>
      </c>
      <c r="F368" s="30">
        <f>MAX(Dashboard!$J$15,(Dashboard!$I$15*Fundo!W367)/360)/30</f>
        <v>500</v>
      </c>
      <c r="G368" s="81">
        <f>Fundo!R367*Dashboard!$I$14</f>
        <v>503.40000000000003</v>
      </c>
      <c r="H368" s="30">
        <v>0</v>
      </c>
      <c r="I368" s="15"/>
    </row>
    <row r="369" spans="2:9" x14ac:dyDescent="0.25">
      <c r="B369" s="7">
        <v>365</v>
      </c>
      <c r="C369" s="51">
        <f t="shared" si="11"/>
        <v>46538</v>
      </c>
      <c r="D369" s="46">
        <f t="shared" si="10"/>
        <v>1503.4</v>
      </c>
      <c r="E369" s="30">
        <f>MAX(Dashboard!$J$16,(Dashboard!$I$16*Fundo!W368)/360)/30</f>
        <v>500</v>
      </c>
      <c r="F369" s="30">
        <f>MAX(Dashboard!$J$15,(Dashboard!$I$15*Fundo!W368)/360)/30</f>
        <v>500</v>
      </c>
      <c r="G369" s="81">
        <f>Fundo!R368*Dashboard!$I$14</f>
        <v>503.40000000000003</v>
      </c>
      <c r="H369" s="30">
        <v>0</v>
      </c>
      <c r="I369" s="15"/>
    </row>
    <row r="370" spans="2:9" x14ac:dyDescent="0.25">
      <c r="B370" s="7">
        <v>366</v>
      </c>
      <c r="C370" s="51">
        <f t="shared" si="11"/>
        <v>46539</v>
      </c>
      <c r="D370" s="46">
        <f t="shared" si="10"/>
        <v>1503.4</v>
      </c>
      <c r="E370" s="30">
        <f>MAX(Dashboard!$J$16,(Dashboard!$I$16*Fundo!W369)/360)/30</f>
        <v>500</v>
      </c>
      <c r="F370" s="30">
        <f>MAX(Dashboard!$J$15,(Dashboard!$I$15*Fundo!W369)/360)/30</f>
        <v>500</v>
      </c>
      <c r="G370" s="81">
        <f>Fundo!R369*Dashboard!$I$14</f>
        <v>503.40000000000003</v>
      </c>
      <c r="H370" s="30">
        <v>0</v>
      </c>
      <c r="I370" s="15"/>
    </row>
    <row r="371" spans="2:9" x14ac:dyDescent="0.25">
      <c r="B371" s="7">
        <v>367</v>
      </c>
      <c r="C371" s="51">
        <f t="shared" si="11"/>
        <v>46540</v>
      </c>
      <c r="D371" s="46">
        <f t="shared" si="10"/>
        <v>1503.4</v>
      </c>
      <c r="E371" s="30">
        <f>MAX(Dashboard!$J$16,(Dashboard!$I$16*Fundo!W370)/360)/30</f>
        <v>500</v>
      </c>
      <c r="F371" s="30">
        <f>MAX(Dashboard!$J$15,(Dashboard!$I$15*Fundo!W370)/360)/30</f>
        <v>500</v>
      </c>
      <c r="G371" s="81">
        <f>Fundo!R370*Dashboard!$I$14</f>
        <v>503.40000000000003</v>
      </c>
      <c r="H371" s="30">
        <v>0</v>
      </c>
      <c r="I371" s="15"/>
    </row>
    <row r="372" spans="2:9" x14ac:dyDescent="0.25">
      <c r="B372" s="7">
        <v>368</v>
      </c>
      <c r="C372" s="51">
        <f t="shared" si="11"/>
        <v>46541</v>
      </c>
      <c r="D372" s="46">
        <f t="shared" si="10"/>
        <v>1503.4</v>
      </c>
      <c r="E372" s="30">
        <f>MAX(Dashboard!$J$16,(Dashboard!$I$16*Fundo!W371)/360)/30</f>
        <v>500</v>
      </c>
      <c r="F372" s="30">
        <f>MAX(Dashboard!$J$15,(Dashboard!$I$15*Fundo!W371)/360)/30</f>
        <v>500</v>
      </c>
      <c r="G372" s="81">
        <f>Fundo!R371*Dashboard!$I$14</f>
        <v>503.40000000000003</v>
      </c>
      <c r="H372" s="30">
        <v>0</v>
      </c>
      <c r="I372" s="15"/>
    </row>
    <row r="373" spans="2:9" x14ac:dyDescent="0.25">
      <c r="B373" s="7">
        <v>369</v>
      </c>
      <c r="C373" s="51">
        <f t="shared" si="11"/>
        <v>46542</v>
      </c>
      <c r="D373" s="46">
        <f t="shared" si="10"/>
        <v>1503.4</v>
      </c>
      <c r="E373" s="30">
        <f>MAX(Dashboard!$J$16,(Dashboard!$I$16*Fundo!W372)/360)/30</f>
        <v>500</v>
      </c>
      <c r="F373" s="30">
        <f>MAX(Dashboard!$J$15,(Dashboard!$I$15*Fundo!W372)/360)/30</f>
        <v>500</v>
      </c>
      <c r="G373" s="81">
        <f>Fundo!R372*Dashboard!$I$14</f>
        <v>503.40000000000003</v>
      </c>
      <c r="H373" s="30">
        <v>0</v>
      </c>
      <c r="I373" s="15"/>
    </row>
    <row r="374" spans="2:9" x14ac:dyDescent="0.25">
      <c r="B374" s="7">
        <v>370</v>
      </c>
      <c r="C374" s="51">
        <f t="shared" si="11"/>
        <v>46543</v>
      </c>
      <c r="D374" s="46">
        <f t="shared" si="10"/>
        <v>1503.4</v>
      </c>
      <c r="E374" s="30">
        <f>MAX(Dashboard!$J$16,(Dashboard!$I$16*Fundo!W373)/360)/30</f>
        <v>500</v>
      </c>
      <c r="F374" s="30">
        <f>MAX(Dashboard!$J$15,(Dashboard!$I$15*Fundo!W373)/360)/30</f>
        <v>500</v>
      </c>
      <c r="G374" s="81">
        <f>Fundo!R373*Dashboard!$I$14</f>
        <v>503.40000000000003</v>
      </c>
      <c r="H374" s="30">
        <v>0</v>
      </c>
      <c r="I374" s="15"/>
    </row>
    <row r="375" spans="2:9" x14ac:dyDescent="0.25">
      <c r="B375" s="7">
        <v>371</v>
      </c>
      <c r="C375" s="51">
        <f t="shared" si="11"/>
        <v>46544</v>
      </c>
      <c r="D375" s="46">
        <f t="shared" si="10"/>
        <v>1503.4</v>
      </c>
      <c r="E375" s="30">
        <f>MAX(Dashboard!$J$16,(Dashboard!$I$16*Fundo!W374)/360)/30</f>
        <v>500</v>
      </c>
      <c r="F375" s="30">
        <f>MAX(Dashboard!$J$15,(Dashboard!$I$15*Fundo!W374)/360)/30</f>
        <v>500</v>
      </c>
      <c r="G375" s="81">
        <f>Fundo!R374*Dashboard!$I$14</f>
        <v>503.40000000000003</v>
      </c>
      <c r="H375" s="30">
        <v>0</v>
      </c>
      <c r="I375" s="15"/>
    </row>
    <row r="376" spans="2:9" x14ac:dyDescent="0.25">
      <c r="B376" s="7">
        <v>372</v>
      </c>
      <c r="C376" s="51">
        <f t="shared" si="11"/>
        <v>46545</v>
      </c>
      <c r="D376" s="46">
        <f t="shared" si="10"/>
        <v>1503.4</v>
      </c>
      <c r="E376" s="30">
        <f>MAX(Dashboard!$J$16,(Dashboard!$I$16*Fundo!W375)/360)/30</f>
        <v>500</v>
      </c>
      <c r="F376" s="30">
        <f>MAX(Dashboard!$J$15,(Dashboard!$I$15*Fundo!W375)/360)/30</f>
        <v>500</v>
      </c>
      <c r="G376" s="81">
        <f>Fundo!R375*Dashboard!$I$14</f>
        <v>503.40000000000003</v>
      </c>
      <c r="H376" s="30">
        <v>0</v>
      </c>
      <c r="I376" s="15"/>
    </row>
    <row r="377" spans="2:9" x14ac:dyDescent="0.25">
      <c r="B377" s="7">
        <v>373</v>
      </c>
      <c r="C377" s="51">
        <f t="shared" si="11"/>
        <v>46546</v>
      </c>
      <c r="D377" s="46">
        <f t="shared" si="10"/>
        <v>1503.4</v>
      </c>
      <c r="E377" s="30">
        <f>MAX(Dashboard!$J$16,(Dashboard!$I$16*Fundo!W376)/360)/30</f>
        <v>500</v>
      </c>
      <c r="F377" s="30">
        <f>MAX(Dashboard!$J$15,(Dashboard!$I$15*Fundo!W376)/360)/30</f>
        <v>500</v>
      </c>
      <c r="G377" s="81">
        <f>Fundo!R376*Dashboard!$I$14</f>
        <v>503.40000000000003</v>
      </c>
      <c r="H377" s="30">
        <v>0</v>
      </c>
      <c r="I377" s="15"/>
    </row>
    <row r="378" spans="2:9" x14ac:dyDescent="0.25">
      <c r="B378" s="7">
        <v>374</v>
      </c>
      <c r="C378" s="51">
        <f t="shared" si="11"/>
        <v>46547</v>
      </c>
      <c r="D378" s="46">
        <f t="shared" si="10"/>
        <v>1503.4</v>
      </c>
      <c r="E378" s="30">
        <f>MAX(Dashboard!$J$16,(Dashboard!$I$16*Fundo!W377)/360)/30</f>
        <v>500</v>
      </c>
      <c r="F378" s="30">
        <f>MAX(Dashboard!$J$15,(Dashboard!$I$15*Fundo!W377)/360)/30</f>
        <v>500</v>
      </c>
      <c r="G378" s="81">
        <f>Fundo!R377*Dashboard!$I$14</f>
        <v>503.40000000000003</v>
      </c>
      <c r="H378" s="30">
        <v>0</v>
      </c>
      <c r="I378" s="15"/>
    </row>
    <row r="379" spans="2:9" x14ac:dyDescent="0.25">
      <c r="B379" s="7">
        <v>375</v>
      </c>
      <c r="C379" s="51">
        <f t="shared" si="11"/>
        <v>46548</v>
      </c>
      <c r="D379" s="46">
        <f t="shared" si="10"/>
        <v>1503.4</v>
      </c>
      <c r="E379" s="30">
        <f>MAX(Dashboard!$J$16,(Dashboard!$I$16*Fundo!W378)/360)/30</f>
        <v>500</v>
      </c>
      <c r="F379" s="30">
        <f>MAX(Dashboard!$J$15,(Dashboard!$I$15*Fundo!W378)/360)/30</f>
        <v>500</v>
      </c>
      <c r="G379" s="81">
        <f>Fundo!R378*Dashboard!$I$14</f>
        <v>503.40000000000003</v>
      </c>
      <c r="H379" s="30">
        <v>0</v>
      </c>
      <c r="I379" s="15"/>
    </row>
    <row r="380" spans="2:9" x14ac:dyDescent="0.25">
      <c r="B380" s="7">
        <v>376</v>
      </c>
      <c r="C380" s="51">
        <f t="shared" si="11"/>
        <v>46549</v>
      </c>
      <c r="D380" s="46">
        <f t="shared" si="10"/>
        <v>1000</v>
      </c>
      <c r="E380" s="30">
        <f>MAX(Dashboard!$J$16,(Dashboard!$I$16*Fundo!W379)/360)/30</f>
        <v>500</v>
      </c>
      <c r="F380" s="30">
        <f>MAX(Dashboard!$J$15,(Dashboard!$I$15*Fundo!W379)/360)/30</f>
        <v>500</v>
      </c>
      <c r="G380" s="81">
        <f>Fundo!R379*Dashboard!$I$14</f>
        <v>0</v>
      </c>
      <c r="H380" s="30">
        <v>0</v>
      </c>
      <c r="I380" s="15"/>
    </row>
    <row r="381" spans="2:9" x14ac:dyDescent="0.25">
      <c r="B381" s="7">
        <v>377</v>
      </c>
      <c r="C381" s="51">
        <f t="shared" si="11"/>
        <v>46550</v>
      </c>
      <c r="D381" s="46">
        <f t="shared" si="10"/>
        <v>1000</v>
      </c>
      <c r="E381" s="30">
        <f>MAX(Dashboard!$J$16,(Dashboard!$I$16*Fundo!W380)/360)/30</f>
        <v>500</v>
      </c>
      <c r="F381" s="30">
        <f>MAX(Dashboard!$J$15,(Dashboard!$I$15*Fundo!W380)/360)/30</f>
        <v>500</v>
      </c>
      <c r="G381" s="81">
        <f>Fundo!R380*Dashboard!$I$14</f>
        <v>0</v>
      </c>
      <c r="H381" s="30">
        <v>0</v>
      </c>
      <c r="I381" s="15"/>
    </row>
    <row r="382" spans="2:9" x14ac:dyDescent="0.25">
      <c r="B382" s="7">
        <v>378</v>
      </c>
      <c r="C382" s="51">
        <f t="shared" si="11"/>
        <v>46551</v>
      </c>
      <c r="D382" s="46">
        <f t="shared" si="10"/>
        <v>1000</v>
      </c>
      <c r="E382" s="30">
        <f>MAX(Dashboard!$J$16,(Dashboard!$I$16*Fundo!W381)/360)/30</f>
        <v>500</v>
      </c>
      <c r="F382" s="30">
        <f>MAX(Dashboard!$J$15,(Dashboard!$I$15*Fundo!W381)/360)/30</f>
        <v>500</v>
      </c>
      <c r="G382" s="81">
        <f>Fundo!R381*Dashboard!$I$14</f>
        <v>0</v>
      </c>
      <c r="H382" s="30">
        <v>0</v>
      </c>
      <c r="I382" s="15"/>
    </row>
    <row r="383" spans="2:9" x14ac:dyDescent="0.25">
      <c r="B383" s="7">
        <v>379</v>
      </c>
      <c r="C383" s="51">
        <f t="shared" si="11"/>
        <v>46552</v>
      </c>
      <c r="D383" s="46">
        <f t="shared" si="10"/>
        <v>1000</v>
      </c>
      <c r="E383" s="30">
        <f>MAX(Dashboard!$J$16,(Dashboard!$I$16*Fundo!W382)/360)/30</f>
        <v>500</v>
      </c>
      <c r="F383" s="30">
        <f>MAX(Dashboard!$J$15,(Dashboard!$I$15*Fundo!W382)/360)/30</f>
        <v>500</v>
      </c>
      <c r="G383" s="81">
        <f>Fundo!R382*Dashboard!$I$14</f>
        <v>0</v>
      </c>
      <c r="H383" s="30">
        <v>0</v>
      </c>
      <c r="I383" s="15"/>
    </row>
    <row r="384" spans="2:9" x14ac:dyDescent="0.25">
      <c r="B384" s="7">
        <v>380</v>
      </c>
      <c r="C384" s="51">
        <f t="shared" si="11"/>
        <v>46553</v>
      </c>
      <c r="D384" s="46">
        <f t="shared" ref="D384:D399" si="12">E384+F384+G384+H384+I384</f>
        <v>1000</v>
      </c>
      <c r="E384" s="30">
        <f>MAX(Dashboard!$J$16,(Dashboard!$I$16*Fundo!W383)/360)/30</f>
        <v>500</v>
      </c>
      <c r="F384" s="30">
        <f>MAX(Dashboard!$J$15,(Dashboard!$I$15*Fundo!W383)/360)/30</f>
        <v>500</v>
      </c>
      <c r="G384" s="81">
        <f>Fundo!R383*Dashboard!$I$14</f>
        <v>0</v>
      </c>
      <c r="H384" s="30">
        <v>0</v>
      </c>
      <c r="I384" s="15"/>
    </row>
    <row r="385" spans="2:9" x14ac:dyDescent="0.25">
      <c r="B385" s="7">
        <v>381</v>
      </c>
      <c r="C385" s="51">
        <f t="shared" si="11"/>
        <v>46554</v>
      </c>
      <c r="D385" s="46">
        <f t="shared" si="12"/>
        <v>1000</v>
      </c>
      <c r="E385" s="30">
        <f>MAX(Dashboard!$J$16,(Dashboard!$I$16*Fundo!W384)/360)/30</f>
        <v>500</v>
      </c>
      <c r="F385" s="30">
        <f>MAX(Dashboard!$J$15,(Dashboard!$I$15*Fundo!W384)/360)/30</f>
        <v>500</v>
      </c>
      <c r="G385" s="81">
        <f>Fundo!R384*Dashboard!$I$14</f>
        <v>0</v>
      </c>
      <c r="H385" s="30">
        <v>0</v>
      </c>
      <c r="I385" s="15"/>
    </row>
    <row r="386" spans="2:9" x14ac:dyDescent="0.25">
      <c r="B386" s="7">
        <v>382</v>
      </c>
      <c r="C386" s="51">
        <f t="shared" si="11"/>
        <v>46555</v>
      </c>
      <c r="D386" s="46">
        <f t="shared" si="12"/>
        <v>1000</v>
      </c>
      <c r="E386" s="30">
        <f>MAX(Dashboard!$J$16,(Dashboard!$I$16*Fundo!W385)/360)/30</f>
        <v>500</v>
      </c>
      <c r="F386" s="30">
        <f>MAX(Dashboard!$J$15,(Dashboard!$I$15*Fundo!W385)/360)/30</f>
        <v>500</v>
      </c>
      <c r="G386" s="81">
        <f>Fundo!R385*Dashboard!$I$14</f>
        <v>0</v>
      </c>
      <c r="H386" s="30">
        <v>0</v>
      </c>
      <c r="I386" s="15"/>
    </row>
    <row r="387" spans="2:9" x14ac:dyDescent="0.25">
      <c r="B387" s="7">
        <v>383</v>
      </c>
      <c r="C387" s="51">
        <f t="shared" si="11"/>
        <v>46556</v>
      </c>
      <c r="D387" s="46">
        <f t="shared" si="12"/>
        <v>1000</v>
      </c>
      <c r="E387" s="30">
        <f>MAX(Dashboard!$J$16,(Dashboard!$I$16*Fundo!W386)/360)/30</f>
        <v>500</v>
      </c>
      <c r="F387" s="30">
        <f>MAX(Dashboard!$J$15,(Dashboard!$I$15*Fundo!W386)/360)/30</f>
        <v>500</v>
      </c>
      <c r="G387" s="81">
        <f>Fundo!R386*Dashboard!$I$14</f>
        <v>0</v>
      </c>
      <c r="H387" s="30">
        <v>0</v>
      </c>
      <c r="I387" s="15"/>
    </row>
    <row r="388" spans="2:9" x14ac:dyDescent="0.25">
      <c r="B388" s="7">
        <v>384</v>
      </c>
      <c r="C388" s="51">
        <f t="shared" si="11"/>
        <v>46557</v>
      </c>
      <c r="D388" s="46">
        <f t="shared" si="12"/>
        <v>1000</v>
      </c>
      <c r="E388" s="30">
        <f>MAX(Dashboard!$J$16,(Dashboard!$I$16*Fundo!W387)/360)/30</f>
        <v>500</v>
      </c>
      <c r="F388" s="30">
        <f>MAX(Dashboard!$J$15,(Dashboard!$I$15*Fundo!W387)/360)/30</f>
        <v>500</v>
      </c>
      <c r="G388" s="81">
        <f>Fundo!R387*Dashboard!$I$14</f>
        <v>0</v>
      </c>
      <c r="H388" s="30">
        <v>0</v>
      </c>
      <c r="I388" s="15"/>
    </row>
    <row r="389" spans="2:9" x14ac:dyDescent="0.25">
      <c r="B389" s="7">
        <v>385</v>
      </c>
      <c r="C389" s="51">
        <f t="shared" si="11"/>
        <v>46558</v>
      </c>
      <c r="D389" s="46">
        <f t="shared" si="12"/>
        <v>1000</v>
      </c>
      <c r="E389" s="30">
        <f>MAX(Dashboard!$J$16,(Dashboard!$I$16*Fundo!W388)/360)/30</f>
        <v>500</v>
      </c>
      <c r="F389" s="30">
        <f>MAX(Dashboard!$J$15,(Dashboard!$I$15*Fundo!W388)/360)/30</f>
        <v>500</v>
      </c>
      <c r="G389" s="81">
        <f>Fundo!R388*Dashboard!$I$14</f>
        <v>0</v>
      </c>
      <c r="H389" s="30">
        <v>0</v>
      </c>
      <c r="I389" s="15"/>
    </row>
    <row r="390" spans="2:9" x14ac:dyDescent="0.25">
      <c r="B390" s="7">
        <v>386</v>
      </c>
      <c r="C390" s="51">
        <f t="shared" si="11"/>
        <v>46559</v>
      </c>
      <c r="D390" s="46">
        <f t="shared" si="12"/>
        <v>1000</v>
      </c>
      <c r="E390" s="30">
        <f>MAX(Dashboard!$J$16,(Dashboard!$I$16*Fundo!W389)/360)/30</f>
        <v>500</v>
      </c>
      <c r="F390" s="30">
        <f>MAX(Dashboard!$J$15,(Dashboard!$I$15*Fundo!W389)/360)/30</f>
        <v>500</v>
      </c>
      <c r="G390" s="81">
        <f>Fundo!R389*Dashboard!$I$14</f>
        <v>0</v>
      </c>
      <c r="H390" s="30">
        <v>0</v>
      </c>
      <c r="I390" s="15"/>
    </row>
    <row r="391" spans="2:9" x14ac:dyDescent="0.25">
      <c r="B391" s="7">
        <v>387</v>
      </c>
      <c r="C391" s="51">
        <f t="shared" ref="C391:C403" si="13">C390+1</f>
        <v>46560</v>
      </c>
      <c r="D391" s="46">
        <f t="shared" si="12"/>
        <v>1000</v>
      </c>
      <c r="E391" s="30">
        <f>MAX(Dashboard!$J$16,(Dashboard!$I$16*Fundo!W390)/360)/30</f>
        <v>500</v>
      </c>
      <c r="F391" s="30">
        <f>MAX(Dashboard!$J$15,(Dashboard!$I$15*Fundo!W390)/360)/30</f>
        <v>500</v>
      </c>
      <c r="G391" s="81">
        <f>Fundo!R390*Dashboard!$I$14</f>
        <v>0</v>
      </c>
      <c r="H391" s="30">
        <v>0</v>
      </c>
      <c r="I391" s="15"/>
    </row>
    <row r="392" spans="2:9" x14ac:dyDescent="0.25">
      <c r="B392" s="7">
        <v>388</v>
      </c>
      <c r="C392" s="51">
        <f t="shared" si="13"/>
        <v>46561</v>
      </c>
      <c r="D392" s="46">
        <f t="shared" si="12"/>
        <v>1000</v>
      </c>
      <c r="E392" s="30">
        <f>MAX(Dashboard!$J$16,(Dashboard!$I$16*Fundo!W391)/360)/30</f>
        <v>500</v>
      </c>
      <c r="F392" s="30">
        <f>MAX(Dashboard!$J$15,(Dashboard!$I$15*Fundo!W391)/360)/30</f>
        <v>500</v>
      </c>
      <c r="G392" s="81">
        <f>Fundo!R391*Dashboard!$I$14</f>
        <v>0</v>
      </c>
      <c r="H392" s="30">
        <v>0</v>
      </c>
      <c r="I392" s="15"/>
    </row>
    <row r="393" spans="2:9" x14ac:dyDescent="0.25">
      <c r="B393" s="7">
        <v>389</v>
      </c>
      <c r="C393" s="51">
        <f t="shared" si="13"/>
        <v>46562</v>
      </c>
      <c r="D393" s="46">
        <f t="shared" si="12"/>
        <v>1000</v>
      </c>
      <c r="E393" s="30">
        <f>MAX(Dashboard!$J$16,(Dashboard!$I$16*Fundo!W392)/360)/30</f>
        <v>500</v>
      </c>
      <c r="F393" s="30">
        <f>MAX(Dashboard!$J$15,(Dashboard!$I$15*Fundo!W392)/360)/30</f>
        <v>500</v>
      </c>
      <c r="G393" s="81">
        <f>Fundo!R392*Dashboard!$I$14</f>
        <v>0</v>
      </c>
      <c r="H393" s="30">
        <v>0</v>
      </c>
      <c r="I393" s="15"/>
    </row>
    <row r="394" spans="2:9" x14ac:dyDescent="0.25">
      <c r="B394" s="7">
        <v>390</v>
      </c>
      <c r="C394" s="51">
        <f t="shared" si="13"/>
        <v>46563</v>
      </c>
      <c r="D394" s="46">
        <f t="shared" si="12"/>
        <v>1000</v>
      </c>
      <c r="E394" s="30">
        <f>MAX(Dashboard!$J$16,(Dashboard!$I$16*Fundo!W393)/360)/30</f>
        <v>500</v>
      </c>
      <c r="F394" s="30">
        <f>MAX(Dashboard!$J$15,(Dashboard!$I$15*Fundo!W393)/360)/30</f>
        <v>500</v>
      </c>
      <c r="G394" s="81">
        <f>Fundo!R393*Dashboard!$I$14</f>
        <v>0</v>
      </c>
      <c r="H394" s="30">
        <v>0</v>
      </c>
      <c r="I394" s="15"/>
    </row>
    <row r="395" spans="2:9" x14ac:dyDescent="0.25">
      <c r="B395" s="7">
        <v>391</v>
      </c>
      <c r="C395" s="51">
        <f t="shared" si="13"/>
        <v>46564</v>
      </c>
      <c r="D395" s="46">
        <f t="shared" si="12"/>
        <v>1000</v>
      </c>
      <c r="E395" s="30">
        <f>MAX(Dashboard!$J$16,(Dashboard!$I$16*Fundo!W394)/360)/30</f>
        <v>500</v>
      </c>
      <c r="F395" s="30">
        <f>MAX(Dashboard!$J$15,(Dashboard!$I$15*Fundo!W394)/360)/30</f>
        <v>500</v>
      </c>
      <c r="G395" s="81">
        <f>Fundo!R394*Dashboard!$I$14</f>
        <v>0</v>
      </c>
      <c r="H395" s="30">
        <v>0</v>
      </c>
      <c r="I395" s="15"/>
    </row>
    <row r="396" spans="2:9" x14ac:dyDescent="0.25">
      <c r="B396" s="7">
        <v>392</v>
      </c>
      <c r="C396" s="51">
        <f t="shared" si="13"/>
        <v>46565</v>
      </c>
      <c r="D396" s="46">
        <f t="shared" si="12"/>
        <v>1000</v>
      </c>
      <c r="E396" s="30">
        <f>MAX(Dashboard!$J$16,(Dashboard!$I$16*Fundo!W395)/360)/30</f>
        <v>500</v>
      </c>
      <c r="F396" s="30">
        <f>MAX(Dashboard!$J$15,(Dashboard!$I$15*Fundo!W395)/360)/30</f>
        <v>500</v>
      </c>
      <c r="G396" s="81">
        <f>Fundo!R395*Dashboard!$I$14</f>
        <v>0</v>
      </c>
      <c r="H396" s="30">
        <v>0</v>
      </c>
      <c r="I396" s="15"/>
    </row>
    <row r="397" spans="2:9" x14ac:dyDescent="0.25">
      <c r="B397" s="7">
        <v>393</v>
      </c>
      <c r="C397" s="51">
        <f t="shared" si="13"/>
        <v>46566</v>
      </c>
      <c r="D397" s="46">
        <f t="shared" si="12"/>
        <v>1000</v>
      </c>
      <c r="E397" s="30">
        <f>MAX(Dashboard!$J$16,(Dashboard!$I$16*Fundo!W396)/360)/30</f>
        <v>500</v>
      </c>
      <c r="F397" s="30">
        <f>MAX(Dashboard!$J$15,(Dashboard!$I$15*Fundo!W396)/360)/30</f>
        <v>500</v>
      </c>
      <c r="G397" s="81">
        <f>Fundo!R396*Dashboard!$I$14</f>
        <v>0</v>
      </c>
      <c r="H397" s="30">
        <v>0</v>
      </c>
      <c r="I397" s="15"/>
    </row>
    <row r="398" spans="2:9" x14ac:dyDescent="0.25">
      <c r="B398" s="7">
        <v>394</v>
      </c>
      <c r="C398" s="51">
        <f t="shared" si="13"/>
        <v>46567</v>
      </c>
      <c r="D398" s="46">
        <f t="shared" si="12"/>
        <v>1000</v>
      </c>
      <c r="E398" s="30">
        <f>MAX(Dashboard!$J$16,(Dashboard!$I$16*Fundo!W397)/360)/30</f>
        <v>500</v>
      </c>
      <c r="F398" s="30">
        <f>MAX(Dashboard!$J$15,(Dashboard!$I$15*Fundo!W397)/360)/30</f>
        <v>500</v>
      </c>
      <c r="G398" s="81">
        <f>Fundo!R397*Dashboard!$I$14</f>
        <v>0</v>
      </c>
      <c r="H398" s="30">
        <v>0</v>
      </c>
      <c r="I398" s="15"/>
    </row>
    <row r="399" spans="2:9" x14ac:dyDescent="0.25">
      <c r="B399" s="7">
        <v>395</v>
      </c>
      <c r="C399" s="51">
        <f t="shared" si="13"/>
        <v>46568</v>
      </c>
      <c r="D399" s="46">
        <f t="shared" si="12"/>
        <v>1000</v>
      </c>
      <c r="E399" s="30">
        <f>MAX(Dashboard!$J$16,(Dashboard!$I$16*Fundo!W398)/360)/30</f>
        <v>500</v>
      </c>
      <c r="F399" s="30">
        <f>MAX(Dashboard!$J$15,(Dashboard!$I$15*Fundo!W398)/360)/30</f>
        <v>500</v>
      </c>
      <c r="G399" s="81">
        <f>Fundo!R398*Dashboard!$I$14</f>
        <v>0</v>
      </c>
      <c r="H399" s="30">
        <v>0</v>
      </c>
      <c r="I399" s="15"/>
    </row>
    <row r="400" spans="2:9" x14ac:dyDescent="0.25">
      <c r="B400" s="7">
        <v>396</v>
      </c>
      <c r="C400" s="51">
        <f t="shared" si="13"/>
        <v>46569</v>
      </c>
      <c r="D400" s="46">
        <f t="shared" ref="D400" si="14">E400+F400+G400+H400+I400</f>
        <v>1000</v>
      </c>
      <c r="E400" s="30">
        <f>MAX(Dashboard!$J$16,(Dashboard!$I$16*Fundo!W399)/360)/30</f>
        <v>500</v>
      </c>
      <c r="F400" s="30">
        <f>MAX(Dashboard!$J$15,(Dashboard!$I$15*Fundo!W399)/360)/30</f>
        <v>500</v>
      </c>
      <c r="G400" s="81">
        <f>Fundo!R399*Dashboard!$I$14</f>
        <v>0</v>
      </c>
      <c r="H400" s="30">
        <v>0</v>
      </c>
      <c r="I400" s="15"/>
    </row>
    <row r="401" spans="2:9" x14ac:dyDescent="0.25">
      <c r="B401" s="7">
        <v>397</v>
      </c>
      <c r="C401" s="51">
        <f t="shared" si="13"/>
        <v>46570</v>
      </c>
      <c r="D401" s="46">
        <f t="shared" ref="D401:D403" si="15">E401+F401+G401+H401+I401</f>
        <v>1000</v>
      </c>
      <c r="E401" s="30">
        <f>MAX(Dashboard!$J$16,(Dashboard!$I$16*Fundo!W400)/360)/30</f>
        <v>500</v>
      </c>
      <c r="F401" s="30">
        <f>MAX(Dashboard!$J$15,(Dashboard!$I$15*Fundo!W400)/360)/30</f>
        <v>500</v>
      </c>
      <c r="G401" s="81">
        <f>Fundo!R400*Dashboard!$I$14</f>
        <v>0</v>
      </c>
      <c r="H401" s="30">
        <v>0</v>
      </c>
      <c r="I401" s="15"/>
    </row>
    <row r="402" spans="2:9" x14ac:dyDescent="0.25">
      <c r="B402" s="7">
        <v>398</v>
      </c>
      <c r="C402" s="51">
        <f t="shared" si="13"/>
        <v>46571</v>
      </c>
      <c r="D402" s="46">
        <f t="shared" si="15"/>
        <v>1000</v>
      </c>
      <c r="E402" s="30">
        <f>MAX(Dashboard!$J$16,(Dashboard!$I$16*Fundo!W401)/360)/30</f>
        <v>500</v>
      </c>
      <c r="F402" s="30">
        <f>MAX(Dashboard!$J$15,(Dashboard!$I$15*Fundo!W401)/360)/30</f>
        <v>500</v>
      </c>
      <c r="G402" s="81">
        <f>Fundo!R401*Dashboard!$I$14</f>
        <v>0</v>
      </c>
      <c r="H402" s="30">
        <v>0</v>
      </c>
      <c r="I402" s="15"/>
    </row>
    <row r="403" spans="2:9" x14ac:dyDescent="0.25">
      <c r="B403" s="7">
        <v>399</v>
      </c>
      <c r="C403" s="51">
        <f t="shared" si="13"/>
        <v>46572</v>
      </c>
      <c r="D403" s="46">
        <f t="shared" si="15"/>
        <v>1000</v>
      </c>
      <c r="E403" s="30">
        <f>MAX(Dashboard!$J$16,(Dashboard!$I$16*Fundo!W402)/360)/30</f>
        <v>500</v>
      </c>
      <c r="F403" s="30">
        <f>MAX(Dashboard!$J$15,(Dashboard!$I$15*Fundo!W402)/360)/30</f>
        <v>500</v>
      </c>
      <c r="G403" s="81">
        <f>Fundo!R402*Dashboard!$I$14</f>
        <v>0</v>
      </c>
      <c r="H403" s="30">
        <v>0</v>
      </c>
      <c r="I403" s="15"/>
    </row>
  </sheetData>
  <mergeCells count="1">
    <mergeCell ref="D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Fundo</vt:lpstr>
      <vt:lpstr>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Lucidio</dc:creator>
  <cp:lastModifiedBy>Gabriel Lucidio</cp:lastModifiedBy>
  <dcterms:created xsi:type="dcterms:W3CDTF">2026-05-07T12:09:24Z</dcterms:created>
  <dcterms:modified xsi:type="dcterms:W3CDTF">2026-05-14T18:52:12Z</dcterms:modified>
</cp:coreProperties>
</file>